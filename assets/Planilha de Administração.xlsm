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Caio T\Desktop\"/>
    </mc:Choice>
  </mc:AlternateContent>
  <xr:revisionPtr revIDLastSave="0" documentId="13_ncr:1_{0B11FF40-9FE3-4727-A2B6-B51C15F1FDFA}" xr6:coauthVersionLast="47" xr6:coauthVersionMax="47" xr10:uidLastSave="{00000000-0000-0000-0000-000000000000}"/>
  <bookViews>
    <workbookView xWindow="-108" yWindow="-108" windowWidth="23256" windowHeight="12456" xr2:uid="{02294777-5E38-4EE0-BA1A-1613826B9AB6}"/>
  </bookViews>
  <sheets>
    <sheet name="Form.Forn" sheetId="2" r:id="rId1"/>
    <sheet name="Form.Compras" sheetId="5" r:id="rId2"/>
    <sheet name="Reg.Forn" sheetId="1" r:id="rId3"/>
    <sheet name="Compras" sheetId="3" r:id="rId4"/>
    <sheet name="Relatório" sheetId="11" r:id="rId5"/>
    <sheet name="Análise" sheetId="7" r:id="rId6"/>
  </sheets>
  <definedNames>
    <definedName name="NativeTimeline_Data_da_Compra">#N/A</definedName>
    <definedName name="SegmentaçãodeDados_Pagamento">#N/A</definedName>
    <definedName name="SegmentaçãodeDados_Tipo_do_Leite">#N/A</definedName>
    <definedName name="SegmentaçãodeDados_UF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11" l="1" a="1"/>
  <c r="D12" i="11" s="1"/>
  <c r="D18" i="5"/>
  <c r="Q5" i="5" s="1"/>
  <c r="S5" i="5"/>
  <c r="R5" i="5"/>
  <c r="P5" i="5"/>
  <c r="O5" i="5"/>
  <c r="N5" i="5"/>
  <c r="M5" i="5"/>
  <c r="L5" i="5"/>
  <c r="E6" i="1"/>
  <c r="E7" i="1"/>
  <c r="E8" i="1"/>
  <c r="E9" i="1"/>
  <c r="E10" i="1"/>
  <c r="E11" i="1"/>
  <c r="E5" i="1"/>
  <c r="M6" i="2"/>
  <c r="L6" i="2"/>
  <c r="Q6" i="2"/>
  <c r="K6" i="2"/>
  <c r="N6" i="2"/>
  <c r="O6" i="2"/>
  <c r="P6" i="2"/>
  <c r="F9" i="1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<sst xmlns="http://schemas.openxmlformats.org/spreadsheetml/2006/main" count="190" uniqueCount="76">
  <si>
    <t>Nome</t>
  </si>
  <si>
    <t>CNPJ</t>
  </si>
  <si>
    <t>Contato</t>
  </si>
  <si>
    <t>UF</t>
  </si>
  <si>
    <t>Município</t>
  </si>
  <si>
    <t>Prazo de Contrato</t>
  </si>
  <si>
    <t>Marcos</t>
  </si>
  <si>
    <t>Paulo</t>
  </si>
  <si>
    <t>Ana</t>
  </si>
  <si>
    <t>Davi</t>
  </si>
  <si>
    <t>Timóteo</t>
  </si>
  <si>
    <t>Mateus</t>
  </si>
  <si>
    <t>Tiago</t>
  </si>
  <si>
    <t>SP</t>
  </si>
  <si>
    <t>MG</t>
  </si>
  <si>
    <t>GO</t>
  </si>
  <si>
    <t>Piracicaba</t>
  </si>
  <si>
    <t>Jundiaí</t>
  </si>
  <si>
    <t>Lavras</t>
  </si>
  <si>
    <t>Fazenda</t>
  </si>
  <si>
    <t>Figueiredo</t>
  </si>
  <si>
    <t>Céu Azul</t>
  </si>
  <si>
    <t>Agroleite</t>
  </si>
  <si>
    <t>Contrato</t>
  </si>
  <si>
    <t>Formulário de Fornecedor</t>
  </si>
  <si>
    <t>Dados da empresa</t>
  </si>
  <si>
    <t>Dados pessoais</t>
  </si>
  <si>
    <t>Data da Compra</t>
  </si>
  <si>
    <t>Tipo do Leite</t>
  </si>
  <si>
    <t>Quantidade (Litros)</t>
  </si>
  <si>
    <t>Preço por Litro (R$)</t>
  </si>
  <si>
    <t>Valor Total (R$)</t>
  </si>
  <si>
    <t>Tipo de Pagamento</t>
  </si>
  <si>
    <t>Tipo A</t>
  </si>
  <si>
    <t>Crédito</t>
  </si>
  <si>
    <t>Tipo B</t>
  </si>
  <si>
    <t>Débito</t>
  </si>
  <si>
    <t>Tipo C</t>
  </si>
  <si>
    <t>Boleto</t>
  </si>
  <si>
    <t>Registro de Fornecedores</t>
  </si>
  <si>
    <t>Carmim</t>
  </si>
  <si>
    <t>Nelore</t>
  </si>
  <si>
    <t>Azevedo</t>
  </si>
  <si>
    <t>Dois irmãos</t>
  </si>
  <si>
    <t>11.111.111/0001-01</t>
  </si>
  <si>
    <t>11.111.111/0001-02</t>
  </si>
  <si>
    <t>11.111.111/0001-03</t>
  </si>
  <si>
    <t>11.111.111/0001-04</t>
  </si>
  <si>
    <t>11.111.111/0001-05</t>
  </si>
  <si>
    <t>11.111.111/0001-06</t>
  </si>
  <si>
    <t>11.111.111/0001-07</t>
  </si>
  <si>
    <t>PR</t>
  </si>
  <si>
    <t>Goiânia</t>
  </si>
  <si>
    <t>Três corações</t>
  </si>
  <si>
    <t>Jacutinga</t>
  </si>
  <si>
    <t>Anis</t>
  </si>
  <si>
    <t>Formulário de Compras</t>
  </si>
  <si>
    <t>Preço por Litro</t>
  </si>
  <si>
    <t>Dados da Compra</t>
  </si>
  <si>
    <t>Dados do Leite</t>
  </si>
  <si>
    <t>Registo de Compras</t>
  </si>
  <si>
    <t xml:space="preserve"> Pagamento</t>
  </si>
  <si>
    <t>Rótulos de Linha</t>
  </si>
  <si>
    <t>Total Geral</t>
  </si>
  <si>
    <t>Soma de Valor Total (R$)</t>
  </si>
  <si>
    <t>Período</t>
  </si>
  <si>
    <t>Fornecedor</t>
  </si>
  <si>
    <t xml:space="preserve">  &gt;&gt;&gt;</t>
  </si>
  <si>
    <t>Relatório de Compras</t>
  </si>
  <si>
    <t>Total</t>
  </si>
  <si>
    <t>22.222.222/0001-22</t>
  </si>
  <si>
    <t>Lazaro</t>
  </si>
  <si>
    <t>Lazaro@gmail.com</t>
  </si>
  <si>
    <t>Cave</t>
  </si>
  <si>
    <t>MT</t>
  </si>
  <si>
    <t>Goias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</si>
</sst>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left"/>
    </xf>
    <xf numFmtId="17" fontId="0" fillId="0" borderId="0" xfId="0" applyNumberFormat="1" applyAlignment="1">
      <alignment horizontal="left"/>
    </xf>
    <xf numFmtId="0" fontId="0" fillId="0" borderId="4" xfId="0" applyBorder="1" applyProtection="1">
      <protection locked="0"/>
    </xf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2" borderId="10" xfId="0" applyFont="1" applyFill="1" applyBorder="1"/>
    <xf numFmtId="0" fontId="0" fillId="4" borderId="0" xfId="0" applyFill="1"/>
    <xf numFmtId="0" fontId="0" fillId="5" borderId="4" xfId="0" applyFill="1" applyBorder="1"/>
    <xf numFmtId="0" fontId="0" fillId="5" borderId="5" xfId="0" applyFill="1" applyBorder="1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0" xfId="0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7" fontId="0" fillId="0" borderId="0" xfId="0" applyNumberFormat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0" fillId="4" borderId="11" xfId="0" applyFill="1" applyBorder="1"/>
    <xf numFmtId="0" fontId="0" fillId="4" borderId="11" xfId="0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0" fillId="4" borderId="9" xfId="0" applyFill="1" applyBorder="1"/>
    <xf numFmtId="14" fontId="0" fillId="0" borderId="0" xfId="0" applyNumberFormat="1" applyAlignment="1">
      <alignment horizont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10" xfId="0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1" xfId="0" applyFill="1" applyBorder="1" applyProtection="1"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9" fillId="4" borderId="4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left" vertical="center" wrapText="1"/>
    </xf>
    <xf numFmtId="0" fontId="9" fillId="4" borderId="0" xfId="0" applyFont="1" applyFill="1" applyAlignment="1">
      <alignment horizontal="center" vertical="center" wrapText="1"/>
    </xf>
    <xf numFmtId="0" fontId="8" fillId="4" borderId="5" xfId="0" applyFont="1" applyFill="1" applyBorder="1"/>
    <xf numFmtId="0" fontId="8" fillId="4" borderId="4" xfId="0" applyFont="1" applyFill="1" applyBorder="1"/>
    <xf numFmtId="0" fontId="8" fillId="4" borderId="0" xfId="0" applyFont="1" applyFill="1" applyAlignment="1">
      <alignment horizontal="left"/>
    </xf>
    <xf numFmtId="0" fontId="8" fillId="4" borderId="0" xfId="0" applyFont="1" applyFill="1"/>
    <xf numFmtId="0" fontId="8" fillId="4" borderId="6" xfId="0" applyFont="1" applyFill="1" applyBorder="1"/>
    <xf numFmtId="0" fontId="8" fillId="4" borderId="7" xfId="0" applyFont="1" applyFill="1" applyBorder="1" applyAlignment="1">
      <alignment horizontal="left"/>
    </xf>
    <xf numFmtId="0" fontId="8" fillId="4" borderId="7" xfId="0" applyFont="1" applyFill="1" applyBorder="1"/>
    <xf numFmtId="0" fontId="8" fillId="4" borderId="8" xfId="0" applyFont="1" applyFill="1" applyBorder="1"/>
    <xf numFmtId="0" fontId="7" fillId="2" borderId="10" xfId="0" applyFont="1" applyFill="1" applyBorder="1" applyAlignment="1">
      <alignment horizontal="left"/>
    </xf>
    <xf numFmtId="0" fontId="7" fillId="2" borderId="10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7" xfId="0" pivotButton="1" applyBorder="1"/>
    <xf numFmtId="0" fontId="0" fillId="0" borderId="18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7" xfId="0" applyBorder="1"/>
    <xf numFmtId="14" fontId="0" fillId="0" borderId="0" xfId="0" applyNumberFormat="1"/>
    <xf numFmtId="0" fontId="7" fillId="2" borderId="10" xfId="0" applyFont="1" applyFill="1" applyBorder="1"/>
    <xf numFmtId="14" fontId="0" fillId="0" borderId="10" xfId="0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3" fillId="2" borderId="10" xfId="0" applyNumberFormat="1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8" xfId="0" applyNumberFormat="1" applyBorder="1"/>
    <xf numFmtId="0" fontId="0" fillId="0" borderId="19" xfId="0" applyNumberFormat="1" applyBorder="1"/>
    <xf numFmtId="0" fontId="0" fillId="0" borderId="20" xfId="0" applyNumberFormat="1" applyBorder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left"/>
    </xf>
    <xf numFmtId="0" fontId="6" fillId="0" borderId="10" xfId="2" applyBorder="1" applyAlignment="1">
      <alignment horizontal="left"/>
    </xf>
    <xf numFmtId="17" fontId="0" fillId="0" borderId="10" xfId="0" applyNumberFormat="1" applyBorder="1" applyAlignment="1">
      <alignment horizontal="left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4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/>
    </xf>
    <xf numFmtId="44" fontId="8" fillId="0" borderId="10" xfId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44" fontId="0" fillId="4" borderId="10" xfId="1" applyFont="1" applyFill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6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microsoft.com/office/2007/relationships/slicerCache" Target="slicerCaches/slicerCache3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Administração.xlsm]Análise!Tabela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178141873679934"/>
          <c:y val="0.2004074685976753"/>
          <c:w val="0.56377798103519894"/>
          <c:h val="0.74750919806899141"/>
        </c:manualLayout>
      </c:layout>
      <c:doughnutChart>
        <c:varyColors val="1"/>
        <c:ser>
          <c:idx val="0"/>
          <c:order val="0"/>
          <c:tx>
            <c:strRef>
              <c:f>Análise!$B$3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FA-4495-AC78-651D89220B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FA-4495-AC78-651D89220B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8FA-4495-AC78-651D89220B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FA-4495-AC78-651D89220B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8FA-4495-AC78-651D89220B4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8FA-4495-AC78-651D89220B4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8FA-4495-AC78-651D89220B42}"/>
              </c:ext>
            </c:extLst>
          </c:dPt>
          <c:cat>
            <c:strRef>
              <c:f>Análise!$A$4:$A$11</c:f>
              <c:strCache>
                <c:ptCount val="7"/>
                <c:pt idx="0">
                  <c:v>Ana</c:v>
                </c:pt>
                <c:pt idx="1">
                  <c:v>Davi</c:v>
                </c:pt>
                <c:pt idx="2">
                  <c:v>Marcos</c:v>
                </c:pt>
                <c:pt idx="3">
                  <c:v>Mateus</c:v>
                </c:pt>
                <c:pt idx="4">
                  <c:v>Paulo</c:v>
                </c:pt>
                <c:pt idx="5">
                  <c:v>Tiago</c:v>
                </c:pt>
                <c:pt idx="6">
                  <c:v>Timóteo</c:v>
                </c:pt>
              </c:strCache>
            </c:strRef>
          </c:cat>
          <c:val>
            <c:numRef>
              <c:f>Análise!$B$4:$B$11</c:f>
              <c:numCache>
                <c:formatCode>General</c:formatCode>
                <c:ptCount val="7"/>
                <c:pt idx="0">
                  <c:v>776</c:v>
                </c:pt>
                <c:pt idx="1">
                  <c:v>1072.5</c:v>
                </c:pt>
                <c:pt idx="2">
                  <c:v>1293</c:v>
                </c:pt>
                <c:pt idx="3">
                  <c:v>1217</c:v>
                </c:pt>
                <c:pt idx="4">
                  <c:v>951</c:v>
                </c:pt>
                <c:pt idx="5">
                  <c:v>1124</c:v>
                </c:pt>
                <c:pt idx="6">
                  <c:v>592.5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8C-4919-B5CD-941E8B1B3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175260</xdr:colOff>
      <xdr:row>20</xdr:row>
      <xdr:rowOff>7620</xdr:rowOff>
    </xdr:from>
    <xdr:to>
      <xdr:col>8</xdr:col>
      <xdr:colOff>7620</xdr:colOff>
      <xdr:row>20</xdr:row>
      <xdr:rowOff>434340</xdr:rowOff>
    </xdr:to>
    <xdr:sp macro="[0]!FormFor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ABEB4E0-A54C-0942-8262-3FA3099B6393}"/>
            </a:ext>
          </a:extLst>
        </xdr:cNvPr>
        <xdr:cNvSpPr/>
      </xdr:nvSpPr>
      <xdr:spPr>
        <a:xfrm>
          <a:off x="4404360" y="3870960"/>
          <a:ext cx="1051560" cy="4267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SALVAR</a:t>
          </a:r>
        </a:p>
      </xdr:txBody>
    </xdr:sp>
    <xdr:clientData/>
  </xdr:twoCellAnchor>
  <xdr:twoCellAnchor>
    <xdr:from>
      <xdr:col>2</xdr:col>
      <xdr:colOff>0</xdr:colOff>
      <xdr:row>20</xdr:row>
      <xdr:rowOff>15240</xdr:rowOff>
    </xdr:from>
    <xdr:to>
      <xdr:col>2</xdr:col>
      <xdr:colOff>1051560</xdr:colOff>
      <xdr:row>20</xdr:row>
      <xdr:rowOff>419100</xdr:rowOff>
    </xdr:to>
    <xdr:sp macro="[0]!limpaForn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5D6DB38-AD8B-15C9-C1F7-B3211BCA1CC6}"/>
            </a:ext>
          </a:extLst>
        </xdr:cNvPr>
        <xdr:cNvSpPr/>
      </xdr:nvSpPr>
      <xdr:spPr>
        <a:xfrm>
          <a:off x="1508760" y="3619500"/>
          <a:ext cx="1051560" cy="4038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LIMPAR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358140</xdr:colOff>
      <xdr:row>19</xdr:row>
      <xdr:rowOff>68580</xdr:rowOff>
    </xdr:from>
    <xdr:to>
      <xdr:col>2</xdr:col>
      <xdr:colOff>998220</xdr:colOff>
      <xdr:row>20</xdr:row>
      <xdr:rowOff>289560</xdr:rowOff>
    </xdr:to>
    <xdr:sp macro="[0]!limpaCompr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84E0CCE-1387-4283-BBD4-F4710CDD0A7D}"/>
            </a:ext>
          </a:extLst>
        </xdr:cNvPr>
        <xdr:cNvSpPr/>
      </xdr:nvSpPr>
      <xdr:spPr>
        <a:xfrm>
          <a:off x="1554480" y="3832860"/>
          <a:ext cx="1021080" cy="40386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LIMPAR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365760</xdr:colOff>
      <xdr:row>19</xdr:row>
      <xdr:rowOff>53340</xdr:rowOff>
    </xdr:from>
    <xdr:to>
      <xdr:col>7</xdr:col>
      <xdr:colOff>601980</xdr:colOff>
      <xdr:row>20</xdr:row>
      <xdr:rowOff>297180</xdr:rowOff>
    </xdr:to>
    <xdr:sp macro="[0]!formCompr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C0022E3-33B9-4DCA-A2BC-0938206BF63D}"/>
            </a:ext>
          </a:extLst>
        </xdr:cNvPr>
        <xdr:cNvSpPr/>
      </xdr:nvSpPr>
      <xdr:spPr>
        <a:xfrm>
          <a:off x="4381500" y="3817620"/>
          <a:ext cx="1051560" cy="4267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SALVAR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243840</xdr:colOff>
      <xdr:row>2</xdr:row>
      <xdr:rowOff>15241</xdr:rowOff>
    </xdr:from>
    <xdr:to>
      <xdr:col>5</xdr:col>
      <xdr:colOff>243840</xdr:colOff>
      <xdr:row>10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 Pagamento">
              <a:extLst>
                <a:ext uri="{FF2B5EF4-FFF2-40B4-BE49-F238E27FC236}">
                  <a16:creationId xmlns:a16="http://schemas.microsoft.com/office/drawing/2014/main" id="{B4017499-2B26-060B-B4E2-84200C0008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 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6060" y="388621"/>
              <a:ext cx="1828800" cy="16306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449580</xdr:colOff>
      <xdr:row>2</xdr:row>
      <xdr:rowOff>0</xdr:rowOff>
    </xdr:from>
    <xdr:to>
      <xdr:col>11</xdr:col>
      <xdr:colOff>449580</xdr:colOff>
      <xdr:row>10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UF">
              <a:extLst>
                <a:ext uri="{FF2B5EF4-FFF2-40B4-BE49-F238E27FC236}">
                  <a16:creationId xmlns:a16="http://schemas.microsoft.com/office/drawing/2014/main" id="{80131D95-7251-51EC-33A9-CE57E1EBD2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373380"/>
              <a:ext cx="1828800" cy="1645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327660</xdr:colOff>
      <xdr:row>2</xdr:row>
      <xdr:rowOff>7621</xdr:rowOff>
    </xdr:from>
    <xdr:to>
      <xdr:col>8</xdr:col>
      <xdr:colOff>327660</xdr:colOff>
      <xdr:row>10</xdr:row>
      <xdr:rowOff>167641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do Leite 1">
              <a:extLst>
                <a:ext uri="{FF2B5EF4-FFF2-40B4-BE49-F238E27FC236}">
                  <a16:creationId xmlns:a16="http://schemas.microsoft.com/office/drawing/2014/main" id="{6AEF30D0-6B59-BB6E-DB6E-B409B3F466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o Lei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8680" y="381001"/>
              <a:ext cx="1828800" cy="1638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7620</xdr:colOff>
      <xdr:row>12</xdr:row>
      <xdr:rowOff>60960</xdr:rowOff>
    </xdr:from>
    <xdr:to>
      <xdr:col>11</xdr:col>
      <xdr:colOff>388620</xdr:colOff>
      <xdr:row>20</xdr:row>
      <xdr:rowOff>45720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a da Compra">
              <a:extLst>
                <a:ext uri="{FF2B5EF4-FFF2-40B4-BE49-F238E27FC236}">
                  <a16:creationId xmlns:a16="http://schemas.microsoft.com/office/drawing/2014/main" id="{AD0B9502-B213-7592-705A-FBF7CA472A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da Comp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20" y="2286000"/>
              <a:ext cx="848868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11</xdr:col>
      <xdr:colOff>601980</xdr:colOff>
      <xdr:row>1</xdr:row>
      <xdr:rowOff>167640</xdr:rowOff>
    </xdr:from>
    <xdr:to>
      <xdr:col>18</xdr:col>
      <xdr:colOff>358140</xdr:colOff>
      <xdr:row>20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574DE80-A7E5-49B3-605F-2F1986374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io" refreshedDate="45526.813062731482" createdVersion="8" refreshedVersion="8" minRefreshableVersion="3" recordCount="21" xr:uid="{6B362469-DF7B-46D5-95D6-1D9D0D85CE91}">
  <cacheSource type="worksheet">
    <worksheetSource ref="C4:J26" sheet="Compras"/>
  </cacheSource>
  <cacheFields count="8">
    <cacheField name="Nome" numFmtId="0">
      <sharedItems count="7">
        <s v="Ana"/>
        <s v="Davi"/>
        <s v="Marcos"/>
        <s v="Mateus"/>
        <s v="Paulo"/>
        <s v="Tiago"/>
        <s v="Timóteo"/>
      </sharedItems>
    </cacheField>
    <cacheField name="UF" numFmtId="0">
      <sharedItems count="4">
        <s v="SP"/>
        <s v="GO"/>
        <s v="MG"/>
        <s v="PR"/>
      </sharedItems>
    </cacheField>
    <cacheField name="Data da Compra" numFmtId="14">
      <sharedItems containsSemiMixedTypes="0" containsNonDate="0" containsDate="1" containsString="0" minDate="2024-03-20T00:00:00" maxDate="2024-08-21T00:00:00" count="21">
        <d v="2024-03-20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</sharedItems>
    </cacheField>
    <cacheField name="Tipo do Leite" numFmtId="0">
      <sharedItems count="3">
        <s v="Tipo B"/>
        <s v="Tipo A"/>
        <s v="Tipo C"/>
      </sharedItems>
    </cacheField>
    <cacheField name="Quantidade (Litros)" numFmtId="0">
      <sharedItems containsSemiMixedTypes="0" containsString="0" containsNumber="1" containsInteger="1" minValue="50" maxValue="120" count="14">
        <n v="120"/>
        <n v="50"/>
        <n v="75"/>
        <n v="60"/>
        <n v="100"/>
        <n v="55"/>
        <n v="80"/>
        <n v="65"/>
        <n v="70"/>
        <n v="90"/>
        <n v="85"/>
        <n v="95"/>
        <n v="110"/>
        <n v="105"/>
      </sharedItems>
    </cacheField>
    <cacheField name="Preço por Litro (R$)" numFmtId="44">
      <sharedItems containsSemiMixedTypes="0" containsString="0" containsNumber="1" minValue="2.5" maxValue="5"/>
    </cacheField>
    <cacheField name="Valor Total (R$)" numFmtId="44">
      <sharedItems containsSemiMixedTypes="0" containsString="0" containsNumber="1" minValue="225" maxValue="540"/>
    </cacheField>
    <cacheField name=" Pagamento" numFmtId="0">
      <sharedItems count="3">
        <s v="Crédito"/>
        <s v="Débito"/>
        <s v="Boleto"/>
      </sharedItems>
    </cacheField>
  </cacheFields>
  <extLst>
    <ext xmlns:x14="http://schemas.microsoft.com/office/spreadsheetml/2009/9/main" uri="{725AE2AE-9491-48be-B2B4-4EB974FC3084}">
      <x14:pivotCacheDefinition pivotCacheId="10944796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n v="2.5"/>
    <n v="300"/>
    <x v="0"/>
  </r>
  <r>
    <x v="0"/>
    <x v="0"/>
    <x v="1"/>
    <x v="1"/>
    <x v="1"/>
    <n v="4.5"/>
    <n v="225"/>
    <x v="0"/>
  </r>
  <r>
    <x v="1"/>
    <x v="1"/>
    <x v="2"/>
    <x v="0"/>
    <x v="2"/>
    <n v="5"/>
    <n v="375"/>
    <x v="1"/>
  </r>
  <r>
    <x v="2"/>
    <x v="2"/>
    <x v="3"/>
    <x v="2"/>
    <x v="3"/>
    <n v="3.8"/>
    <n v="228"/>
    <x v="2"/>
  </r>
  <r>
    <x v="3"/>
    <x v="0"/>
    <x v="4"/>
    <x v="1"/>
    <x v="4"/>
    <n v="4.5"/>
    <n v="450"/>
    <x v="0"/>
  </r>
  <r>
    <x v="4"/>
    <x v="2"/>
    <x v="5"/>
    <x v="0"/>
    <x v="5"/>
    <n v="5"/>
    <n v="275"/>
    <x v="1"/>
  </r>
  <r>
    <x v="5"/>
    <x v="3"/>
    <x v="6"/>
    <x v="2"/>
    <x v="6"/>
    <n v="3.8"/>
    <n v="304"/>
    <x v="2"/>
  </r>
  <r>
    <x v="6"/>
    <x v="0"/>
    <x v="7"/>
    <x v="1"/>
    <x v="7"/>
    <n v="4.5"/>
    <n v="292.5"/>
    <x v="0"/>
  </r>
  <r>
    <x v="0"/>
    <x v="0"/>
    <x v="8"/>
    <x v="2"/>
    <x v="8"/>
    <n v="3.8"/>
    <n v="266"/>
    <x v="1"/>
  </r>
  <r>
    <x v="1"/>
    <x v="1"/>
    <x v="9"/>
    <x v="0"/>
    <x v="9"/>
    <n v="5"/>
    <n v="450"/>
    <x v="2"/>
  </r>
  <r>
    <x v="2"/>
    <x v="2"/>
    <x v="10"/>
    <x v="1"/>
    <x v="0"/>
    <n v="4.5"/>
    <n v="540"/>
    <x v="0"/>
  </r>
  <r>
    <x v="3"/>
    <x v="0"/>
    <x v="11"/>
    <x v="0"/>
    <x v="10"/>
    <n v="5"/>
    <n v="425"/>
    <x v="1"/>
  </r>
  <r>
    <x v="4"/>
    <x v="2"/>
    <x v="12"/>
    <x v="2"/>
    <x v="11"/>
    <n v="3.8"/>
    <n v="361"/>
    <x v="2"/>
  </r>
  <r>
    <x v="5"/>
    <x v="3"/>
    <x v="13"/>
    <x v="1"/>
    <x v="12"/>
    <n v="4.5"/>
    <n v="495"/>
    <x v="0"/>
  </r>
  <r>
    <x v="6"/>
    <x v="0"/>
    <x v="14"/>
    <x v="0"/>
    <x v="3"/>
    <n v="5"/>
    <n v="300"/>
    <x v="1"/>
  </r>
  <r>
    <x v="0"/>
    <x v="0"/>
    <x v="15"/>
    <x v="2"/>
    <x v="2"/>
    <n v="3.8"/>
    <n v="285"/>
    <x v="2"/>
  </r>
  <r>
    <x v="1"/>
    <x v="1"/>
    <x v="16"/>
    <x v="1"/>
    <x v="5"/>
    <n v="4.5"/>
    <n v="247.5"/>
    <x v="0"/>
  </r>
  <r>
    <x v="2"/>
    <x v="2"/>
    <x v="17"/>
    <x v="0"/>
    <x v="13"/>
    <n v="5"/>
    <n v="525"/>
    <x v="1"/>
  </r>
  <r>
    <x v="3"/>
    <x v="0"/>
    <x v="18"/>
    <x v="2"/>
    <x v="9"/>
    <n v="3.8"/>
    <n v="342"/>
    <x v="2"/>
  </r>
  <r>
    <x v="4"/>
    <x v="2"/>
    <x v="19"/>
    <x v="1"/>
    <x v="8"/>
    <n v="4.5"/>
    <n v="315"/>
    <x v="0"/>
  </r>
  <r>
    <x v="5"/>
    <x v="3"/>
    <x v="20"/>
    <x v="0"/>
    <x v="7"/>
    <n v="5"/>
    <n v="3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3CB14D-F85D-43C4-A07D-D97806013997}" name="Tabela dinâmica2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8" indent="0" outline="1" outlineData="1" multipleFieldFilters="0" chartFormat="4">
  <location ref="A3:B11" firstHeaderRow="1" firstDataRow="1" firstDataCol="1"/>
  <pivotFields count="8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5">
        <item x="1"/>
        <item x="2"/>
        <item x="3"/>
        <item x="0"/>
        <item t="default"/>
      </items>
    </pivotField>
    <pivotField numFmtId="14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numFmtId="44" showAll="0"/>
    <pivotField dataField="1" numFmtId="44" showAll="0"/>
    <pivotField showAll="0">
      <items count="4">
        <item x="2"/>
        <item x="0"/>
        <item x="1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Valor Total (R$)" fld="6" baseField="0" baseItem="0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8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Medium2" showRowHeaders="1" showColHeaders="1" showRowStripes="1" showColStripes="0" showLastColumn="1"/>
  <filters count="1">
    <filter fld="2" type="dateBetween" evalOrder="-1" id="58" name="Data da Compra">
      <autoFilter ref="A1">
        <filterColumn colId="0">
          <customFilters and="1">
            <customFilter operator="greaterThanOrEqual" val="45505"/>
            <customFilter operator="lessThanOrEqual" val="4553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gamento" xr10:uid="{FC8BB799-4651-41B5-93BE-90E4D9FCA733}" sourceName=" Pagamento">
  <pivotTables>
    <pivotTable tabId="7" name="Tabela dinâmica2"/>
  </pivotTables>
  <data>
    <tabular pivotCacheId="1094479612">
      <items count="3">
        <i x="2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o_Leite" xr10:uid="{31906DA6-946E-47A8-803C-BC2996BA87CE}" sourceName="Tipo do Leite">
  <pivotTables>
    <pivotTable tabId="7" name="Tabela dinâmica2"/>
  </pivotTables>
  <data>
    <tabular pivotCacheId="1094479612">
      <items count="3">
        <i x="1" s="1"/>
        <i x="0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D9128F66-54D5-48A5-B554-47D856277D10}" sourceName="UF">
  <pivotTables>
    <pivotTable tabId="7" name="Tabela dinâmica2"/>
  </pivotTables>
  <data>
    <tabular pivotCacheId="1094479612">
      <items count="4">
        <i x="1" s="1"/>
        <i x="2" s="1"/>
        <i x="3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 Pagamento" xr10:uid="{DFB6BE99-5D1C-4EAD-879A-0E8FD2F4993A}" cache="SegmentaçãodeDados_Pagamento" caption=" Pagamento" rowHeight="247650"/>
  <slicer name="Tipo do Leite 1" xr10:uid="{58EDD20E-1BB7-4779-97C9-5E601E22E41F}" cache="SegmentaçãodeDados_Tipo_do_Leite" caption="Tipo do Leite" rowHeight="247650"/>
  <slicer name="UF" xr10:uid="{5618E514-A5D2-4ADC-84B2-D800A8C60D2F}" cache="SegmentaçãodeDados_UF" caption="UF" rowHeight="24765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da_Compra" xr10:uid="{5F4CC2AF-6528-4194-A262-9E5DD8EDEEB2}" sourceName="Data da Compra">
  <pivotTables>
    <pivotTable tabId="7" name="Tabela dinâmica2"/>
  </pivotTables>
  <state minimalRefreshVersion="6" lastRefreshVersion="6" pivotCacheId="1094479612" filterType="dateBetween">
    <selection startDate="2024-08-01T00:00:00" endDate="2024-08-31T00:00:00"/>
    <bounds startDate="2024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da Compra" xr10:uid="{A6125738-41B7-4025-86D0-781D15811659}" cache="NativeTimeline_Data_da_Compra" caption="Data da Compra" level="2" selectionLevel="2" scrollPosition="2024-01-01T00:00:00" style="TimeSlicerStyleDark4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3E027-9E49-4BC2-8FC1-E4C15263F9F4}">
  <sheetPr codeName="Planilha1"/>
  <dimension ref="A1:XFC22"/>
  <sheetViews>
    <sheetView showGridLines="0" tabSelected="1" workbookViewId="0">
      <selection activeCell="B2" sqref="B2:I4"/>
    </sheetView>
  </sheetViews>
  <sheetFormatPr defaultColWidth="0" defaultRowHeight="13.8"/>
  <cols>
    <col min="1" max="1" width="16" style="64" customWidth="1"/>
    <col min="2" max="2" width="3.796875" style="35" customWidth="1"/>
    <col min="3" max="3" width="15.19921875" style="35" customWidth="1"/>
    <col min="4" max="8" width="8.8984375" style="35" customWidth="1"/>
    <col min="9" max="9" width="3.296875" style="35" customWidth="1"/>
    <col min="10" max="10" width="16.8984375" style="64" customWidth="1"/>
    <col min="11" max="131" width="7.09765625" hidden="1"/>
    <col min="133" max="16383" width="7.09765625" hidden="1"/>
    <col min="16384" max="16384" width="9.765625E-2" hidden="1"/>
  </cols>
  <sheetData>
    <row r="1" spans="2:17" ht="21" customHeight="1" thickBot="1"/>
    <row r="2" spans="2:17">
      <c r="B2" s="87" t="s">
        <v>24</v>
      </c>
      <c r="C2" s="88"/>
      <c r="D2" s="88"/>
      <c r="E2" s="88"/>
      <c r="F2" s="88"/>
      <c r="G2" s="88"/>
      <c r="H2" s="88"/>
      <c r="I2" s="89"/>
    </row>
    <row r="3" spans="2:17">
      <c r="B3" s="90"/>
      <c r="C3" s="91"/>
      <c r="D3" s="91"/>
      <c r="E3" s="91"/>
      <c r="F3" s="91"/>
      <c r="G3" s="91"/>
      <c r="H3" s="91"/>
      <c r="I3" s="92"/>
    </row>
    <row r="4" spans="2:17" ht="14.4" thickBot="1">
      <c r="B4" s="90"/>
      <c r="C4" s="91"/>
      <c r="D4" s="91"/>
      <c r="E4" s="91"/>
      <c r="F4" s="91"/>
      <c r="G4" s="91"/>
      <c r="H4" s="91"/>
      <c r="I4" s="92"/>
    </row>
    <row r="5" spans="2:17">
      <c r="B5" s="15"/>
      <c r="C5" s="16"/>
      <c r="D5" s="16"/>
      <c r="E5" s="16"/>
      <c r="F5" s="16"/>
      <c r="G5" s="16"/>
      <c r="H5" s="16"/>
      <c r="I5" s="17"/>
    </row>
    <row r="6" spans="2:17">
      <c r="B6" s="94" t="s">
        <v>26</v>
      </c>
      <c r="C6" s="95"/>
      <c r="D6" s="95"/>
      <c r="E6" s="95"/>
      <c r="F6" s="95"/>
      <c r="G6" s="95"/>
      <c r="H6" s="95"/>
      <c r="I6" s="96"/>
      <c r="K6" s="1">
        <f>D8</f>
        <v>0</v>
      </c>
      <c r="L6" s="1">
        <f>D13</f>
        <v>0</v>
      </c>
      <c r="M6" s="1">
        <f>D9</f>
        <v>0</v>
      </c>
      <c r="N6" s="1">
        <f>D14</f>
        <v>0</v>
      </c>
      <c r="O6" s="1">
        <f>D15</f>
        <v>0</v>
      </c>
      <c r="P6" s="1">
        <f>D16</f>
        <v>0</v>
      </c>
      <c r="Q6" s="2">
        <f>D18</f>
        <v>0</v>
      </c>
    </row>
    <row r="7" spans="2:17">
      <c r="B7" s="3"/>
      <c r="C7" s="18"/>
      <c r="D7" s="18"/>
      <c r="E7" s="18"/>
      <c r="F7" s="18"/>
      <c r="G7" s="18"/>
      <c r="H7" s="18"/>
      <c r="I7" s="19"/>
    </row>
    <row r="8" spans="2:17">
      <c r="B8" s="5"/>
      <c r="C8" s="11" t="s">
        <v>0</v>
      </c>
      <c r="D8" s="97"/>
      <c r="E8" s="97"/>
      <c r="F8" s="97"/>
      <c r="G8" s="97"/>
      <c r="H8" s="97"/>
      <c r="I8" s="4"/>
      <c r="K8" s="1"/>
      <c r="L8" s="1"/>
      <c r="M8" s="1"/>
      <c r="N8" s="1"/>
      <c r="O8" s="1"/>
      <c r="P8" s="1"/>
      <c r="Q8" s="1"/>
    </row>
    <row r="9" spans="2:17">
      <c r="B9" s="5"/>
      <c r="C9" s="11" t="s">
        <v>2</v>
      </c>
      <c r="D9" s="98"/>
      <c r="E9" s="97"/>
      <c r="F9" s="97"/>
      <c r="G9" s="97"/>
      <c r="H9" s="97"/>
      <c r="I9" s="4"/>
      <c r="K9" s="61" t="s">
        <v>71</v>
      </c>
      <c r="L9" s="61" t="s">
        <v>73</v>
      </c>
      <c r="M9" s="61" t="s">
        <v>72</v>
      </c>
      <c r="N9" s="61" t="s">
        <v>70</v>
      </c>
      <c r="O9" s="61" t="s">
        <v>74</v>
      </c>
      <c r="P9" s="61" t="s">
        <v>75</v>
      </c>
      <c r="Q9" s="61">
        <v>46023</v>
      </c>
    </row>
    <row r="10" spans="2:17">
      <c r="B10" s="84"/>
      <c r="C10" s="85"/>
      <c r="D10" s="85"/>
      <c r="E10" s="85"/>
      <c r="F10" s="85"/>
      <c r="G10" s="85"/>
      <c r="H10" s="85"/>
      <c r="I10" s="86"/>
    </row>
    <row r="11" spans="2:17">
      <c r="B11" s="13"/>
      <c r="C11" s="93" t="s">
        <v>25</v>
      </c>
      <c r="D11" s="93"/>
      <c r="E11" s="93"/>
      <c r="F11" s="93"/>
      <c r="G11" s="93"/>
      <c r="H11" s="93"/>
      <c r="I11" s="14"/>
    </row>
    <row r="12" spans="2:17">
      <c r="B12" s="84"/>
      <c r="C12" s="85"/>
      <c r="D12" s="85"/>
      <c r="E12" s="85"/>
      <c r="F12" s="85"/>
      <c r="G12" s="85"/>
      <c r="H12" s="85"/>
      <c r="I12" s="86"/>
    </row>
    <row r="13" spans="2:17">
      <c r="B13" s="5"/>
      <c r="C13" s="11" t="s">
        <v>19</v>
      </c>
      <c r="D13" s="97"/>
      <c r="E13" s="97"/>
      <c r="F13" s="97"/>
      <c r="G13" s="97"/>
      <c r="H13" s="97"/>
      <c r="I13" s="4"/>
    </row>
    <row r="14" spans="2:17">
      <c r="B14" s="5"/>
      <c r="C14" s="11" t="s">
        <v>1</v>
      </c>
      <c r="D14" s="97"/>
      <c r="E14" s="97"/>
      <c r="F14" s="97"/>
      <c r="G14" s="97"/>
      <c r="H14" s="97"/>
      <c r="I14" s="4"/>
    </row>
    <row r="15" spans="2:17">
      <c r="B15" s="5"/>
      <c r="C15" s="11" t="s">
        <v>3</v>
      </c>
      <c r="D15" s="97"/>
      <c r="E15" s="97"/>
      <c r="F15" s="97"/>
      <c r="G15" s="97"/>
      <c r="H15" s="97"/>
      <c r="I15" s="4"/>
    </row>
    <row r="16" spans="2:17">
      <c r="B16" s="5"/>
      <c r="C16" s="11" t="s">
        <v>4</v>
      </c>
      <c r="D16" s="97"/>
      <c r="E16" s="97"/>
      <c r="F16" s="97"/>
      <c r="G16" s="97"/>
      <c r="H16" s="97"/>
      <c r="I16" s="4"/>
    </row>
    <row r="17" spans="2:9">
      <c r="B17" s="84"/>
      <c r="C17" s="85"/>
      <c r="D17" s="85"/>
      <c r="E17" s="85"/>
      <c r="F17" s="85"/>
      <c r="G17" s="85"/>
      <c r="H17" s="85"/>
      <c r="I17" s="86"/>
    </row>
    <row r="18" spans="2:9">
      <c r="B18" s="5"/>
      <c r="C18" s="11" t="s">
        <v>23</v>
      </c>
      <c r="D18" s="99"/>
      <c r="E18" s="97"/>
      <c r="F18" s="97"/>
      <c r="G18" s="97"/>
      <c r="H18" s="97"/>
      <c r="I18" s="4"/>
    </row>
    <row r="19" spans="2:9">
      <c r="B19" s="5"/>
      <c r="C19"/>
      <c r="D19"/>
      <c r="E19"/>
      <c r="F19"/>
      <c r="G19"/>
      <c r="H19"/>
      <c r="I19" s="4"/>
    </row>
    <row r="20" spans="2:9">
      <c r="B20" s="5"/>
      <c r="C20"/>
      <c r="D20"/>
      <c r="E20"/>
      <c r="F20"/>
      <c r="G20"/>
      <c r="H20"/>
      <c r="I20" s="4"/>
    </row>
    <row r="21" spans="2:9" ht="34.799999999999997" customHeight="1">
      <c r="B21" s="5"/>
      <c r="C21" s="12"/>
      <c r="D21" s="12"/>
      <c r="E21" s="12"/>
      <c r="F21" s="12"/>
      <c r="G21" s="12"/>
      <c r="H21" s="12"/>
      <c r="I21" s="4"/>
    </row>
    <row r="22" spans="2:9" ht="14.4" thickBot="1">
      <c r="B22" s="6"/>
      <c r="C22" s="7"/>
      <c r="D22" s="7"/>
      <c r="E22" s="7"/>
      <c r="F22" s="7"/>
      <c r="G22" s="7"/>
      <c r="H22" s="7"/>
      <c r="I22" s="8"/>
    </row>
  </sheetData>
  <sheetProtection selectLockedCells="1" selectUnlockedCells="1"/>
  <mergeCells count="13">
    <mergeCell ref="D18:H18"/>
    <mergeCell ref="B12:I12"/>
    <mergeCell ref="B17:I17"/>
    <mergeCell ref="B2:I4"/>
    <mergeCell ref="C11:H11"/>
    <mergeCell ref="B6:I6"/>
    <mergeCell ref="D8:H8"/>
    <mergeCell ref="D9:H9"/>
    <mergeCell ref="B10:I10"/>
    <mergeCell ref="D13:H13"/>
    <mergeCell ref="D14:H14"/>
    <mergeCell ref="D15:H15"/>
    <mergeCell ref="D16:H16"/>
  </mergeCells>
  <dataValidations count="2">
    <dataValidation type="list" showInputMessage="1" showErrorMessage="1" errorTitle="Data inválida" promptTitle="Vencimento do Contrato" prompt="..." sqref="D18:H18" xr:uid="{76914F40-8F0B-46D5-BB3C-B69E86E4FD65}">
      <formula1>"jan/2025,jan/2026,jan/2027,jan/2028"</formula1>
    </dataValidation>
    <dataValidation type="list" showInputMessage="1" showErrorMessage="1" sqref="D15:H15" xr:uid="{D325141D-1F6B-4AAC-9C0C-AD635799210A}">
      <formula1>" ,SP, MG, GO, RJ, MT, MS, AM, PR, PA"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2164A-4F3D-4B80-AC71-ECF52CBD72E3}">
  <sheetPr codeName="Planilha2"/>
  <dimension ref="A1:XFC22"/>
  <sheetViews>
    <sheetView workbookViewId="0">
      <selection activeCell="B2" sqref="B2:I4"/>
    </sheetView>
  </sheetViews>
  <sheetFormatPr defaultColWidth="0" defaultRowHeight="13.8"/>
  <cols>
    <col min="1" max="1" width="17.3984375" style="35" customWidth="1"/>
    <col min="2" max="2" width="5.59765625" style="35" customWidth="1"/>
    <col min="3" max="3" width="19.19921875" style="36" customWidth="1"/>
    <col min="4" max="4" width="9.296875" style="35" customWidth="1"/>
    <col min="5" max="5" width="7" style="35" customWidth="1"/>
    <col min="6" max="6" width="5.59765625" style="35" customWidth="1"/>
    <col min="7" max="7" width="6.296875" style="35" customWidth="1"/>
    <col min="8" max="8" width="8.8984375" style="35" customWidth="1"/>
    <col min="9" max="9" width="5.59765625" style="35" customWidth="1"/>
    <col min="10" max="10" width="19.796875" style="35" customWidth="1"/>
    <col min="11" max="13" width="4" hidden="1"/>
    <col min="14" max="14" width="7.19921875" hidden="1"/>
    <col min="15" max="15" width="4" hidden="1"/>
    <col min="16" max="16" width="7.19921875" hidden="1"/>
    <col min="17" max="17" width="9.69921875" hidden="1"/>
    <col min="18" max="16383" width="4" hidden="1"/>
    <col min="16384" max="16384" width="1" hidden="1"/>
  </cols>
  <sheetData>
    <row r="1" spans="2:20" ht="23.4" customHeight="1" thickBot="1"/>
    <row r="2" spans="2:20" ht="14.4" customHeight="1">
      <c r="B2" s="87" t="s">
        <v>56</v>
      </c>
      <c r="C2" s="100"/>
      <c r="D2" s="100"/>
      <c r="E2" s="100"/>
      <c r="F2" s="100"/>
      <c r="G2" s="100"/>
      <c r="H2" s="100"/>
      <c r="I2" s="101"/>
    </row>
    <row r="3" spans="2:20" ht="14.4" customHeight="1">
      <c r="B3" s="102"/>
      <c r="C3" s="103"/>
      <c r="D3" s="103"/>
      <c r="E3" s="103"/>
      <c r="F3" s="103"/>
      <c r="G3" s="103"/>
      <c r="H3" s="103"/>
      <c r="I3" s="104"/>
      <c r="K3" s="34"/>
      <c r="L3" s="34"/>
    </row>
    <row r="4" spans="2:20" ht="14.4" customHeight="1" thickBot="1">
      <c r="B4" s="105"/>
      <c r="C4" s="106"/>
      <c r="D4" s="106"/>
      <c r="E4" s="106"/>
      <c r="F4" s="106"/>
      <c r="G4" s="106"/>
      <c r="H4" s="106"/>
      <c r="I4" s="107"/>
      <c r="K4" s="34"/>
      <c r="L4" s="34"/>
    </row>
    <row r="5" spans="2:20" ht="15" customHeight="1">
      <c r="B5" s="40"/>
      <c r="C5" s="41"/>
      <c r="D5" s="42"/>
      <c r="E5" s="42"/>
      <c r="F5" s="42"/>
      <c r="G5" s="42"/>
      <c r="H5" s="42"/>
      <c r="I5" s="43"/>
      <c r="K5" s="34"/>
      <c r="L5" s="60">
        <f>D8</f>
        <v>0</v>
      </c>
      <c r="M5" s="61">
        <f>D9</f>
        <v>0</v>
      </c>
      <c r="N5" s="61">
        <f>D10</f>
        <v>0</v>
      </c>
      <c r="O5" s="61">
        <f>D16</f>
        <v>0</v>
      </c>
      <c r="P5" s="61">
        <f>Form.Compras!D17</f>
        <v>0</v>
      </c>
      <c r="Q5" s="62">
        <f>Form.Compras!D18</f>
        <v>0</v>
      </c>
      <c r="R5" s="61">
        <f>D12</f>
        <v>0</v>
      </c>
      <c r="S5" s="61">
        <f>D11</f>
        <v>0</v>
      </c>
    </row>
    <row r="6" spans="2:20">
      <c r="B6" s="94" t="s">
        <v>58</v>
      </c>
      <c r="C6" s="95"/>
      <c r="D6" s="95"/>
      <c r="E6" s="95"/>
      <c r="F6" s="95"/>
      <c r="G6" s="95"/>
      <c r="H6" s="95"/>
      <c r="I6" s="96"/>
      <c r="K6" s="33"/>
      <c r="L6" s="33"/>
    </row>
    <row r="7" spans="2:20">
      <c r="B7" s="112"/>
      <c r="C7" s="113"/>
      <c r="D7" s="113"/>
      <c r="E7" s="113"/>
      <c r="F7" s="113"/>
      <c r="G7" s="113"/>
      <c r="H7" s="113"/>
      <c r="I7" s="114"/>
      <c r="K7" s="31"/>
      <c r="L7" s="18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/>
    </row>
    <row r="8" spans="2:20" ht="15.6">
      <c r="B8" s="38"/>
      <c r="C8" s="56" t="s">
        <v>0</v>
      </c>
      <c r="D8" s="109"/>
      <c r="E8" s="109"/>
      <c r="F8" s="109"/>
      <c r="G8" s="109"/>
      <c r="H8" s="109"/>
      <c r="I8" s="39"/>
      <c r="K8" s="18"/>
      <c r="L8" s="33"/>
    </row>
    <row r="9" spans="2:20" ht="15.6">
      <c r="B9" s="38"/>
      <c r="C9" s="55" t="s">
        <v>3</v>
      </c>
      <c r="D9" s="120"/>
      <c r="E9" s="120"/>
      <c r="F9" s="120"/>
      <c r="G9" s="120"/>
      <c r="H9" s="120"/>
      <c r="I9" s="39"/>
      <c r="K9" s="1"/>
    </row>
    <row r="10" spans="2:20" ht="15.6">
      <c r="B10" s="38"/>
      <c r="C10" s="56" t="s">
        <v>27</v>
      </c>
      <c r="D10" s="108"/>
      <c r="E10" s="109"/>
      <c r="F10" s="109"/>
      <c r="G10" s="109"/>
      <c r="H10" s="109"/>
      <c r="I10" s="39"/>
      <c r="K10" s="1"/>
    </row>
    <row r="11" spans="2:20" ht="15.6">
      <c r="B11" s="38"/>
      <c r="C11" s="55" t="s">
        <v>32</v>
      </c>
      <c r="D11" s="110"/>
      <c r="E11" s="110"/>
      <c r="F11" s="110"/>
      <c r="G11" s="110"/>
      <c r="H11" s="110"/>
      <c r="I11" s="39"/>
      <c r="K11" s="9"/>
    </row>
    <row r="12" spans="2:20" ht="15.6">
      <c r="B12" s="38"/>
      <c r="C12" s="56" t="s">
        <v>31</v>
      </c>
      <c r="D12" s="111"/>
      <c r="E12" s="111"/>
      <c r="F12" s="111"/>
      <c r="G12" s="111"/>
      <c r="H12" s="111"/>
      <c r="I12" s="39"/>
      <c r="K12" s="32"/>
    </row>
    <row r="13" spans="2:20" ht="15.6" customHeight="1">
      <c r="B13" s="121"/>
      <c r="C13" s="122"/>
      <c r="D13" s="122"/>
      <c r="E13" s="122"/>
      <c r="F13" s="122"/>
      <c r="G13" s="122"/>
      <c r="H13" s="122"/>
      <c r="I13" s="123"/>
      <c r="K13" s="10"/>
    </row>
    <row r="14" spans="2:20" ht="15.6" customHeight="1">
      <c r="B14" s="117" t="s">
        <v>59</v>
      </c>
      <c r="C14" s="118"/>
      <c r="D14" s="118"/>
      <c r="E14" s="118"/>
      <c r="F14" s="118"/>
      <c r="G14" s="118"/>
      <c r="H14" s="118"/>
      <c r="I14" s="119"/>
      <c r="K14" s="1"/>
    </row>
    <row r="15" spans="2:20" ht="15.6" customHeight="1">
      <c r="B15" s="124"/>
      <c r="C15" s="125"/>
      <c r="D15" s="125"/>
      <c r="E15" s="125"/>
      <c r="F15" s="125"/>
      <c r="G15" s="125"/>
      <c r="H15" s="125"/>
      <c r="I15" s="126"/>
      <c r="K15" s="1"/>
    </row>
    <row r="16" spans="2:20" ht="15.6">
      <c r="B16" s="48"/>
      <c r="C16" s="55" t="s">
        <v>28</v>
      </c>
      <c r="D16" s="115"/>
      <c r="E16" s="115"/>
      <c r="F16" s="115"/>
      <c r="G16" s="115"/>
      <c r="H16" s="115"/>
      <c r="I16" s="47"/>
      <c r="K16" s="1"/>
    </row>
    <row r="17" spans="2:11" ht="15.6">
      <c r="B17" s="48"/>
      <c r="C17" s="55" t="s">
        <v>29</v>
      </c>
      <c r="D17" s="115"/>
      <c r="E17" s="115"/>
      <c r="F17" s="115"/>
      <c r="G17" s="115"/>
      <c r="H17" s="115"/>
      <c r="I17" s="47"/>
      <c r="K17" s="1"/>
    </row>
    <row r="18" spans="2:11" ht="15.6">
      <c r="B18" s="48"/>
      <c r="C18" s="55" t="s">
        <v>57</v>
      </c>
      <c r="D18" s="116">
        <f>IF(D12*D17&gt;0,D12/D17, )</f>
        <v>0</v>
      </c>
      <c r="E18" s="116"/>
      <c r="F18" s="116"/>
      <c r="G18" s="116"/>
      <c r="H18" s="116"/>
      <c r="I18" s="47"/>
      <c r="K18" s="9"/>
    </row>
    <row r="19" spans="2:11">
      <c r="B19" s="44"/>
      <c r="C19" s="45"/>
      <c r="D19" s="46"/>
      <c r="E19" s="46"/>
      <c r="F19" s="46"/>
      <c r="G19" s="46"/>
      <c r="H19" s="46"/>
      <c r="I19" s="47"/>
    </row>
    <row r="20" spans="2:11">
      <c r="B20" s="48"/>
      <c r="C20" s="49"/>
      <c r="D20" s="50"/>
      <c r="E20" s="50"/>
      <c r="F20" s="50"/>
      <c r="G20" s="50"/>
      <c r="H20" s="50"/>
      <c r="I20" s="47"/>
    </row>
    <row r="21" spans="2:11" ht="25.8" customHeight="1">
      <c r="B21" s="48"/>
      <c r="C21" s="49"/>
      <c r="D21" s="50"/>
      <c r="E21" s="50"/>
      <c r="F21" s="50"/>
      <c r="G21" s="50"/>
      <c r="H21" s="50"/>
      <c r="I21" s="47"/>
    </row>
    <row r="22" spans="2:11" ht="14.4" thickBot="1">
      <c r="B22" s="51"/>
      <c r="C22" s="52"/>
      <c r="D22" s="53"/>
      <c r="E22" s="53"/>
      <c r="F22" s="53"/>
      <c r="G22" s="53"/>
      <c r="H22" s="53"/>
      <c r="I22" s="54"/>
    </row>
  </sheetData>
  <mergeCells count="14">
    <mergeCell ref="D16:H16"/>
    <mergeCell ref="D17:H17"/>
    <mergeCell ref="D18:H18"/>
    <mergeCell ref="B6:I6"/>
    <mergeCell ref="B14:I14"/>
    <mergeCell ref="D9:H9"/>
    <mergeCell ref="B13:I13"/>
    <mergeCell ref="B15:I15"/>
    <mergeCell ref="B2:I4"/>
    <mergeCell ref="D10:H10"/>
    <mergeCell ref="D11:H11"/>
    <mergeCell ref="D12:H12"/>
    <mergeCell ref="D8:H8"/>
    <mergeCell ref="B7:I7"/>
  </mergeCells>
  <dataValidations count="4">
    <dataValidation type="list" showInputMessage="1" showErrorMessage="1" sqref="K16" xr:uid="{9EDDB9DF-0820-4526-AFFD-A806737B4127}">
      <formula1>" ,SP, MG, GO, RJ, MT, MS, AM, PR, PA"</formula1>
    </dataValidation>
    <dataValidation showInputMessage="1" showErrorMessage="1" errorTitle="Data inválida" sqref="D18" xr:uid="{2FFDFAB8-3870-4543-91D4-A7872CEAE68D}"/>
    <dataValidation type="list" allowBlank="1" showInputMessage="1" showErrorMessage="1" sqref="D16:H16" xr:uid="{7D8399A2-8BAA-4ADE-985C-C98460D26C13}">
      <formula1>"Tipo A,Tipo B,Tipo C"</formula1>
    </dataValidation>
    <dataValidation type="list" showInputMessage="1" showErrorMessage="1" sqref="D11:H11" xr:uid="{C1CE3AF3-7343-45B5-A770-40BBEBE82BFD}">
      <formula1>"Crédito,Débito,Boleto"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0AEB1-3BED-46A8-854B-DAC343419297}">
  <sheetPr codeName="Planilha3"/>
  <dimension ref="A1:XFC38"/>
  <sheetViews>
    <sheetView zoomScaleNormal="100" workbookViewId="0">
      <selection activeCell="C1" sqref="C1:I3"/>
    </sheetView>
  </sheetViews>
  <sheetFormatPr defaultColWidth="0" defaultRowHeight="13.8"/>
  <cols>
    <col min="1" max="1" width="7.296875" style="59" customWidth="1"/>
    <col min="2" max="2" width="8.19921875" style="27" customWidth="1"/>
    <col min="3" max="3" width="12.69921875" style="9" customWidth="1"/>
    <col min="4" max="4" width="18.19921875" style="9" customWidth="1"/>
    <col min="5" max="5" width="20.796875" style="9" customWidth="1"/>
    <col min="6" max="6" width="18.19921875" style="9" customWidth="1"/>
    <col min="7" max="7" width="13.296875" style="9" customWidth="1"/>
    <col min="8" max="9" width="18.3984375" style="9" customWidth="1"/>
    <col min="10" max="10" width="9.3984375" style="65" customWidth="1"/>
    <col min="11" max="11" width="9.3984375" style="59" customWidth="1"/>
    <col min="12" max="16" width="8.8984375" hidden="1"/>
    <col min="18" max="16383" width="8.8984375" hidden="1"/>
    <col min="16384" max="16384" width="9.765625E-2" hidden="1" customWidth="1"/>
  </cols>
  <sheetData>
    <row r="1" spans="3:17" ht="14.4" customHeight="1">
      <c r="C1" s="127" t="s">
        <v>39</v>
      </c>
      <c r="D1" s="128"/>
      <c r="E1" s="128"/>
      <c r="F1" s="128"/>
      <c r="G1" s="128"/>
      <c r="H1" s="128"/>
      <c r="I1" s="129"/>
      <c r="L1" s="12"/>
      <c r="M1" s="12"/>
      <c r="N1" s="12"/>
      <c r="O1" s="12"/>
      <c r="P1" s="12"/>
      <c r="Q1" s="12"/>
    </row>
    <row r="2" spans="3:17" ht="14.4" customHeight="1">
      <c r="C2" s="127"/>
      <c r="D2" s="128"/>
      <c r="E2" s="128"/>
      <c r="F2" s="128"/>
      <c r="G2" s="128"/>
      <c r="H2" s="128"/>
      <c r="I2" s="129"/>
      <c r="L2" s="12"/>
      <c r="M2" s="12"/>
      <c r="N2" s="12"/>
      <c r="O2" s="12"/>
      <c r="P2" s="12"/>
      <c r="Q2" s="12"/>
    </row>
    <row r="3" spans="3:17" ht="14.4" customHeight="1">
      <c r="C3" s="130"/>
      <c r="D3" s="131"/>
      <c r="E3" s="131"/>
      <c r="F3" s="131"/>
      <c r="G3" s="131"/>
      <c r="H3" s="131"/>
      <c r="I3" s="132"/>
      <c r="L3" s="12"/>
      <c r="M3" s="12"/>
      <c r="N3" s="12"/>
      <c r="O3" s="12"/>
      <c r="P3" s="12"/>
      <c r="Q3" s="12"/>
    </row>
    <row r="4" spans="3:17" ht="15.6">
      <c r="C4" s="25" t="s">
        <v>0</v>
      </c>
      <c r="D4" s="24" t="s">
        <v>19</v>
      </c>
      <c r="E4" s="24" t="s">
        <v>2</v>
      </c>
      <c r="F4" s="24" t="s">
        <v>1</v>
      </c>
      <c r="G4" s="24" t="s">
        <v>3</v>
      </c>
      <c r="H4" s="24" t="s">
        <v>4</v>
      </c>
      <c r="I4" s="28" t="s">
        <v>5</v>
      </c>
      <c r="L4" s="12"/>
      <c r="M4" s="12"/>
      <c r="N4" s="12"/>
      <c r="O4" s="12"/>
      <c r="P4" s="12"/>
      <c r="Q4" s="12"/>
    </row>
    <row r="5" spans="3:17">
      <c r="C5" s="9" t="s">
        <v>8</v>
      </c>
      <c r="D5" s="9" t="s">
        <v>21</v>
      </c>
      <c r="E5" s="9" t="str">
        <f>C5 &amp; "@gmail.com"</f>
        <v>Ana@gmail.com</v>
      </c>
      <c r="F5" s="9" t="s">
        <v>44</v>
      </c>
      <c r="G5" s="9" t="s">
        <v>13</v>
      </c>
      <c r="H5" s="9" t="s">
        <v>17</v>
      </c>
      <c r="I5" s="30">
        <v>46235</v>
      </c>
      <c r="L5" s="12"/>
      <c r="M5" s="12"/>
      <c r="N5" s="12"/>
      <c r="O5" s="12"/>
      <c r="P5" s="12"/>
      <c r="Q5" s="12"/>
    </row>
    <row r="6" spans="3:17">
      <c r="C6" s="9" t="s">
        <v>9</v>
      </c>
      <c r="D6" s="9" t="s">
        <v>20</v>
      </c>
      <c r="E6" s="9" t="str">
        <f t="shared" ref="E6:E11" si="0">C6 &amp; "@gmail.com"</f>
        <v>Davi@gmail.com</v>
      </c>
      <c r="F6" s="9" t="s">
        <v>45</v>
      </c>
      <c r="G6" s="9" t="s">
        <v>15</v>
      </c>
      <c r="H6" s="9" t="s">
        <v>52</v>
      </c>
      <c r="I6" s="30">
        <v>46236</v>
      </c>
      <c r="L6" s="12"/>
      <c r="M6" s="12"/>
      <c r="N6" s="12"/>
      <c r="O6" s="12"/>
      <c r="P6" s="12"/>
      <c r="Q6" s="12"/>
    </row>
    <row r="7" spans="3:17">
      <c r="C7" s="9" t="s">
        <v>7</v>
      </c>
      <c r="D7" s="9" t="s">
        <v>40</v>
      </c>
      <c r="E7" s="9" t="str">
        <f t="shared" si="0"/>
        <v>Paulo@gmail.com</v>
      </c>
      <c r="F7" s="9" t="s">
        <v>46</v>
      </c>
      <c r="G7" s="9" t="s">
        <v>14</v>
      </c>
      <c r="H7" s="9" t="s">
        <v>53</v>
      </c>
      <c r="I7" s="30">
        <v>46237</v>
      </c>
      <c r="L7" s="12"/>
      <c r="M7" s="12"/>
      <c r="N7" s="12"/>
      <c r="O7" s="12"/>
      <c r="P7" s="12"/>
      <c r="Q7" s="12"/>
    </row>
    <row r="8" spans="3:17">
      <c r="C8" s="9" t="s">
        <v>6</v>
      </c>
      <c r="D8" s="9" t="s">
        <v>22</v>
      </c>
      <c r="E8" s="9" t="str">
        <f t="shared" si="0"/>
        <v>Marcos@gmail.com</v>
      </c>
      <c r="F8" s="9" t="s">
        <v>47</v>
      </c>
      <c r="G8" s="9" t="s">
        <v>14</v>
      </c>
      <c r="H8" s="9" t="s">
        <v>18</v>
      </c>
      <c r="I8" s="30">
        <v>46238</v>
      </c>
      <c r="L8" s="12"/>
      <c r="M8" s="12"/>
      <c r="N8" s="12"/>
      <c r="O8" s="12"/>
      <c r="P8" s="12"/>
      <c r="Q8" s="12"/>
    </row>
    <row r="9" spans="3:17">
      <c r="C9" s="9" t="s">
        <v>11</v>
      </c>
      <c r="D9" s="9" t="s">
        <v>41</v>
      </c>
      <c r="E9" s="9" t="str">
        <f t="shared" si="0"/>
        <v>Mateus@gmail.com</v>
      </c>
      <c r="F9" s="9" t="s">
        <v>48</v>
      </c>
      <c r="G9" s="9" t="s">
        <v>13</v>
      </c>
      <c r="H9" s="9" t="s">
        <v>54</v>
      </c>
      <c r="I9" s="30">
        <v>46239</v>
      </c>
      <c r="L9" s="12"/>
      <c r="M9" s="12"/>
      <c r="N9" s="12"/>
      <c r="O9" s="12"/>
      <c r="P9" s="12"/>
      <c r="Q9" s="12"/>
    </row>
    <row r="10" spans="3:17">
      <c r="C10" s="9" t="s">
        <v>10</v>
      </c>
      <c r="D10" s="9" t="s">
        <v>42</v>
      </c>
      <c r="E10" s="9" t="str">
        <f t="shared" si="0"/>
        <v>Timóteo@gmail.com</v>
      </c>
      <c r="F10" s="9" t="s">
        <v>49</v>
      </c>
      <c r="G10" s="9" t="s">
        <v>13</v>
      </c>
      <c r="H10" s="9" t="s">
        <v>16</v>
      </c>
      <c r="I10" s="30">
        <v>46240</v>
      </c>
      <c r="L10" s="12"/>
      <c r="M10" s="12"/>
      <c r="N10" s="12"/>
      <c r="O10" s="12"/>
      <c r="P10" s="12"/>
      <c r="Q10" s="12"/>
    </row>
    <row r="11" spans="3:17">
      <c r="C11" s="9" t="s">
        <v>12</v>
      </c>
      <c r="D11" s="9" t="s">
        <v>43</v>
      </c>
      <c r="E11" s="9" t="str">
        <f t="shared" si="0"/>
        <v>Tiago@gmail.com</v>
      </c>
      <c r="F11" s="9" t="s">
        <v>50</v>
      </c>
      <c r="G11" s="9" t="s">
        <v>51</v>
      </c>
      <c r="H11" s="9" t="s">
        <v>55</v>
      </c>
      <c r="I11" s="30">
        <v>46241</v>
      </c>
      <c r="L11" s="12"/>
      <c r="M11" s="12"/>
      <c r="N11" s="12"/>
      <c r="O11" s="12"/>
      <c r="P11" s="12"/>
      <c r="Q11" s="12"/>
    </row>
    <row r="12" spans="3:17">
      <c r="L12" s="12"/>
      <c r="M12" s="12"/>
      <c r="N12" s="12"/>
      <c r="O12" s="12"/>
      <c r="P12" s="12"/>
      <c r="Q12" s="12"/>
    </row>
    <row r="13" spans="3:17">
      <c r="L13" s="12"/>
      <c r="M13" s="12"/>
      <c r="N13" s="12"/>
      <c r="O13" s="12"/>
      <c r="P13" s="12"/>
      <c r="Q13" s="12"/>
    </row>
    <row r="14" spans="3:17">
      <c r="L14" s="12"/>
      <c r="M14" s="12"/>
      <c r="N14" s="12"/>
      <c r="O14" s="12"/>
      <c r="P14" s="12"/>
      <c r="Q14" s="12"/>
    </row>
    <row r="15" spans="3:17">
      <c r="L15" s="12"/>
      <c r="M15" s="12"/>
      <c r="N15" s="12"/>
      <c r="O15" s="12"/>
      <c r="P15" s="12"/>
      <c r="Q15" s="12"/>
    </row>
    <row r="16" spans="3:17">
      <c r="L16" s="12"/>
      <c r="M16" s="12"/>
      <c r="N16" s="12"/>
      <c r="O16" s="12"/>
      <c r="P16" s="12"/>
      <c r="Q16" s="12"/>
    </row>
    <row r="17" spans="8:17">
      <c r="L17" s="12"/>
      <c r="M17" s="12"/>
      <c r="N17" s="12"/>
      <c r="O17" s="12"/>
      <c r="P17" s="12"/>
      <c r="Q17" s="12"/>
    </row>
    <row r="18" spans="8:17">
      <c r="L18" s="12"/>
      <c r="M18" s="12"/>
      <c r="N18" s="12"/>
      <c r="O18" s="12"/>
      <c r="P18" s="12"/>
      <c r="Q18" s="12"/>
    </row>
    <row r="19" spans="8:17">
      <c r="I19" s="30"/>
      <c r="L19" s="12"/>
      <c r="M19" s="12"/>
      <c r="N19" s="12"/>
      <c r="O19" s="12"/>
      <c r="P19" s="12"/>
      <c r="Q19" s="12"/>
    </row>
    <row r="20" spans="8:17">
      <c r="I20" s="30"/>
      <c r="L20" s="12"/>
      <c r="M20" s="12"/>
      <c r="N20" s="12"/>
      <c r="O20" s="12"/>
      <c r="P20" s="12"/>
      <c r="Q20" s="12"/>
    </row>
    <row r="21" spans="8:17">
      <c r="I21" s="30"/>
      <c r="L21" s="12"/>
      <c r="M21" s="12"/>
      <c r="N21" s="12"/>
      <c r="O21" s="12"/>
      <c r="P21" s="12"/>
      <c r="Q21" s="12"/>
    </row>
    <row r="22" spans="8:17">
      <c r="L22" s="12"/>
      <c r="M22" s="12"/>
      <c r="N22" s="12"/>
      <c r="O22" s="12"/>
      <c r="P22" s="12"/>
      <c r="Q22" s="12"/>
    </row>
    <row r="23" spans="8:17">
      <c r="H23" s="23"/>
      <c r="L23" s="12"/>
      <c r="M23" s="12"/>
      <c r="N23" s="12"/>
      <c r="O23" s="12"/>
      <c r="P23" s="12"/>
      <c r="Q23" s="12"/>
    </row>
    <row r="24" spans="8:17">
      <c r="H24" s="23"/>
      <c r="L24" s="12"/>
      <c r="M24" s="12"/>
      <c r="N24" s="12"/>
      <c r="O24" s="12"/>
      <c r="P24" s="12"/>
      <c r="Q24" s="12"/>
    </row>
    <row r="25" spans="8:17">
      <c r="H25" s="23"/>
      <c r="L25" s="12"/>
      <c r="M25" s="12"/>
      <c r="N25" s="12"/>
      <c r="O25" s="12"/>
      <c r="P25" s="12"/>
      <c r="Q25" s="12"/>
    </row>
    <row r="26" spans="8:17">
      <c r="H26" s="23"/>
      <c r="L26" s="12"/>
      <c r="M26" s="12"/>
      <c r="N26" s="12"/>
      <c r="O26" s="12"/>
      <c r="P26" s="12"/>
      <c r="Q26" s="12"/>
    </row>
    <row r="28" spans="8:17">
      <c r="H28" s="23"/>
    </row>
    <row r="29" spans="8:17">
      <c r="H29" s="23"/>
    </row>
    <row r="30" spans="8:17">
      <c r="H30" s="23"/>
    </row>
    <row r="31" spans="8:17">
      <c r="H31" s="23"/>
    </row>
    <row r="32" spans="8:17">
      <c r="H32" s="23"/>
    </row>
    <row r="33" spans="8:8">
      <c r="H33" s="23"/>
    </row>
    <row r="34" spans="8:8">
      <c r="H34" s="23"/>
    </row>
    <row r="35" spans="8:8">
      <c r="H35" s="23"/>
    </row>
    <row r="36" spans="8:8">
      <c r="H36" s="23"/>
    </row>
    <row r="37" spans="8:8">
      <c r="H37" s="23"/>
    </row>
    <row r="38" spans="8:8">
      <c r="H38" s="23"/>
    </row>
  </sheetData>
  <mergeCells count="1">
    <mergeCell ref="C1:I3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D9F24-8916-4D3C-A7F4-32EF8DEEEF21}">
  <sheetPr codeName="Planilha4"/>
  <dimension ref="A1:L26"/>
  <sheetViews>
    <sheetView workbookViewId="0">
      <selection activeCell="C1" sqref="C1:J3"/>
    </sheetView>
  </sheetViews>
  <sheetFormatPr defaultColWidth="0" defaultRowHeight="13.8"/>
  <cols>
    <col min="1" max="1" width="8.8984375" style="12" customWidth="1"/>
    <col min="2" max="2" width="8.8984375" style="26" customWidth="1"/>
    <col min="3" max="3" width="8.8984375" style="10" customWidth="1"/>
    <col min="4" max="4" width="9.59765625" style="10" customWidth="1"/>
    <col min="5" max="5" width="15.8984375" style="10" customWidth="1"/>
    <col min="6" max="6" width="14.3984375" style="10" customWidth="1"/>
    <col min="7" max="7" width="18.3984375" style="10" customWidth="1"/>
    <col min="8" max="8" width="18.19921875" style="10" customWidth="1"/>
    <col min="9" max="9" width="16.59765625" style="10" customWidth="1"/>
    <col min="10" max="10" width="13.8984375" style="10" customWidth="1"/>
    <col min="11" max="11" width="8.8984375" style="29" customWidth="1"/>
    <col min="12" max="12" width="8.8984375" style="12" customWidth="1"/>
    <col min="13" max="16384" width="8.8984375" hidden="1"/>
  </cols>
  <sheetData>
    <row r="1" spans="3:10">
      <c r="C1" s="128" t="s">
        <v>60</v>
      </c>
      <c r="D1" s="128"/>
      <c r="E1" s="128"/>
      <c r="F1" s="128"/>
      <c r="G1" s="128"/>
      <c r="H1" s="128"/>
      <c r="I1" s="128"/>
      <c r="J1" s="128"/>
    </row>
    <row r="2" spans="3:10">
      <c r="C2" s="128"/>
      <c r="D2" s="128"/>
      <c r="E2" s="128"/>
      <c r="F2" s="128"/>
      <c r="G2" s="128"/>
      <c r="H2" s="128"/>
      <c r="I2" s="128"/>
      <c r="J2" s="128"/>
    </row>
    <row r="3" spans="3:10" ht="16.2" customHeight="1">
      <c r="C3" s="131"/>
      <c r="D3" s="131"/>
      <c r="E3" s="131"/>
      <c r="F3" s="131"/>
      <c r="G3" s="131"/>
      <c r="H3" s="131"/>
      <c r="I3" s="131"/>
      <c r="J3" s="131"/>
    </row>
    <row r="4" spans="3:10" ht="16.2" customHeight="1">
      <c r="C4" s="66" t="s">
        <v>0</v>
      </c>
      <c r="D4" s="58" t="s">
        <v>3</v>
      </c>
      <c r="E4" s="57" t="s">
        <v>27</v>
      </c>
      <c r="F4" s="57" t="s">
        <v>28</v>
      </c>
      <c r="G4" s="57" t="s">
        <v>29</v>
      </c>
      <c r="H4" s="57" t="s">
        <v>30</v>
      </c>
      <c r="I4" s="57" t="s">
        <v>31</v>
      </c>
      <c r="J4" s="67" t="s">
        <v>61</v>
      </c>
    </row>
    <row r="5" spans="3:10">
      <c r="C5" s="18" t="s">
        <v>8</v>
      </c>
      <c r="D5" s="10" t="s">
        <v>13</v>
      </c>
      <c r="E5" s="63">
        <v>45446</v>
      </c>
      <c r="F5" s="10" t="s">
        <v>35</v>
      </c>
      <c r="G5" s="10">
        <v>150</v>
      </c>
      <c r="H5" s="21">
        <v>3.3333333333333335</v>
      </c>
      <c r="I5" s="21">
        <v>500</v>
      </c>
      <c r="J5" s="10" t="s">
        <v>38</v>
      </c>
    </row>
    <row r="6" spans="3:10">
      <c r="C6" s="18" t="s">
        <v>8</v>
      </c>
      <c r="D6" s="10" t="s">
        <v>13</v>
      </c>
      <c r="E6" s="63">
        <v>45371</v>
      </c>
      <c r="F6" s="10" t="s">
        <v>35</v>
      </c>
      <c r="G6" s="10">
        <v>120</v>
      </c>
      <c r="H6" s="21">
        <v>2.5</v>
      </c>
      <c r="I6" s="21">
        <v>300</v>
      </c>
      <c r="J6" s="10" t="s">
        <v>34</v>
      </c>
    </row>
    <row r="7" spans="3:10">
      <c r="C7" s="20" t="s">
        <v>8</v>
      </c>
      <c r="D7" s="10" t="s">
        <v>13</v>
      </c>
      <c r="E7" s="22">
        <v>45505</v>
      </c>
      <c r="F7" s="20" t="s">
        <v>33</v>
      </c>
      <c r="G7" s="20">
        <v>50</v>
      </c>
      <c r="H7" s="21">
        <v>4.5</v>
      </c>
      <c r="I7" s="21">
        <v>225</v>
      </c>
      <c r="J7" s="20" t="s">
        <v>34</v>
      </c>
    </row>
    <row r="8" spans="3:10">
      <c r="C8" s="20" t="s">
        <v>9</v>
      </c>
      <c r="D8" s="10" t="s">
        <v>15</v>
      </c>
      <c r="E8" s="22">
        <v>45506</v>
      </c>
      <c r="F8" s="20" t="s">
        <v>35</v>
      </c>
      <c r="G8" s="20">
        <v>75</v>
      </c>
      <c r="H8" s="21">
        <v>4.5</v>
      </c>
      <c r="I8" s="21">
        <v>375</v>
      </c>
      <c r="J8" s="20" t="s">
        <v>36</v>
      </c>
    </row>
    <row r="9" spans="3:10">
      <c r="C9" s="20" t="s">
        <v>6</v>
      </c>
      <c r="D9" s="10" t="s">
        <v>14</v>
      </c>
      <c r="E9" s="22">
        <v>45507</v>
      </c>
      <c r="F9" s="20" t="s">
        <v>37</v>
      </c>
      <c r="G9" s="20">
        <v>60</v>
      </c>
      <c r="H9" s="21">
        <v>3.8</v>
      </c>
      <c r="I9" s="21">
        <v>228</v>
      </c>
      <c r="J9" s="20" t="s">
        <v>38</v>
      </c>
    </row>
    <row r="10" spans="3:10">
      <c r="C10" s="20" t="s">
        <v>11</v>
      </c>
      <c r="D10" s="10" t="s">
        <v>13</v>
      </c>
      <c r="E10" s="22">
        <v>45508</v>
      </c>
      <c r="F10" s="20" t="s">
        <v>33</v>
      </c>
      <c r="G10" s="20">
        <v>100</v>
      </c>
      <c r="H10" s="21">
        <v>4.5</v>
      </c>
      <c r="I10" s="21">
        <v>450</v>
      </c>
      <c r="J10" s="20" t="s">
        <v>34</v>
      </c>
    </row>
    <row r="11" spans="3:10">
      <c r="C11" s="20" t="s">
        <v>7</v>
      </c>
      <c r="D11" s="10" t="s">
        <v>14</v>
      </c>
      <c r="E11" s="22">
        <v>45509</v>
      </c>
      <c r="F11" s="20" t="s">
        <v>35</v>
      </c>
      <c r="G11" s="20">
        <v>55</v>
      </c>
      <c r="H11" s="21">
        <v>5</v>
      </c>
      <c r="I11" s="21">
        <v>275</v>
      </c>
      <c r="J11" s="20" t="s">
        <v>36</v>
      </c>
    </row>
    <row r="12" spans="3:10">
      <c r="C12" s="20" t="s">
        <v>12</v>
      </c>
      <c r="D12" s="10" t="s">
        <v>51</v>
      </c>
      <c r="E12" s="22">
        <v>45510</v>
      </c>
      <c r="F12" s="20" t="s">
        <v>37</v>
      </c>
      <c r="G12" s="20">
        <v>80</v>
      </c>
      <c r="H12" s="21">
        <v>3.8</v>
      </c>
      <c r="I12" s="21">
        <v>304</v>
      </c>
      <c r="J12" s="20" t="s">
        <v>38</v>
      </c>
    </row>
    <row r="13" spans="3:10">
      <c r="C13" s="20" t="s">
        <v>10</v>
      </c>
      <c r="D13" s="10" t="s">
        <v>13</v>
      </c>
      <c r="E13" s="22">
        <v>45511</v>
      </c>
      <c r="F13" s="20" t="s">
        <v>33</v>
      </c>
      <c r="G13" s="20">
        <v>65</v>
      </c>
      <c r="H13" s="21">
        <v>4.5</v>
      </c>
      <c r="I13" s="21">
        <v>292.5</v>
      </c>
      <c r="J13" s="20" t="s">
        <v>34</v>
      </c>
    </row>
    <row r="14" spans="3:10">
      <c r="C14" s="20" t="s">
        <v>8</v>
      </c>
      <c r="D14" s="10" t="s">
        <v>13</v>
      </c>
      <c r="E14" s="22">
        <v>45512</v>
      </c>
      <c r="F14" s="20" t="s">
        <v>37</v>
      </c>
      <c r="G14" s="20">
        <v>70</v>
      </c>
      <c r="H14" s="21">
        <v>3.8</v>
      </c>
      <c r="I14" s="21">
        <v>266</v>
      </c>
      <c r="J14" s="20" t="s">
        <v>36</v>
      </c>
    </row>
    <row r="15" spans="3:10">
      <c r="C15" s="20" t="s">
        <v>9</v>
      </c>
      <c r="D15" s="10" t="s">
        <v>15</v>
      </c>
      <c r="E15" s="22">
        <v>45513</v>
      </c>
      <c r="F15" s="20" t="s">
        <v>35</v>
      </c>
      <c r="G15" s="20">
        <v>90</v>
      </c>
      <c r="H15" s="21">
        <v>5</v>
      </c>
      <c r="I15" s="21">
        <v>450</v>
      </c>
      <c r="J15" s="20" t="s">
        <v>38</v>
      </c>
    </row>
    <row r="16" spans="3:10">
      <c r="C16" s="20" t="s">
        <v>6</v>
      </c>
      <c r="D16" s="10" t="s">
        <v>14</v>
      </c>
      <c r="E16" s="22">
        <v>45514</v>
      </c>
      <c r="F16" s="20" t="s">
        <v>33</v>
      </c>
      <c r="G16" s="20">
        <v>120</v>
      </c>
      <c r="H16" s="21">
        <v>4.5</v>
      </c>
      <c r="I16" s="21">
        <v>540</v>
      </c>
      <c r="J16" s="20" t="s">
        <v>34</v>
      </c>
    </row>
    <row r="17" spans="3:10">
      <c r="C17" s="20" t="s">
        <v>11</v>
      </c>
      <c r="D17" s="10" t="s">
        <v>13</v>
      </c>
      <c r="E17" s="22">
        <v>45515</v>
      </c>
      <c r="F17" s="20" t="s">
        <v>35</v>
      </c>
      <c r="G17" s="20">
        <v>85</v>
      </c>
      <c r="H17" s="21">
        <v>5</v>
      </c>
      <c r="I17" s="21">
        <v>425</v>
      </c>
      <c r="J17" s="20" t="s">
        <v>36</v>
      </c>
    </row>
    <row r="18" spans="3:10">
      <c r="C18" s="20" t="s">
        <v>7</v>
      </c>
      <c r="D18" s="10" t="s">
        <v>14</v>
      </c>
      <c r="E18" s="22">
        <v>45516</v>
      </c>
      <c r="F18" s="20" t="s">
        <v>37</v>
      </c>
      <c r="G18" s="20">
        <v>95</v>
      </c>
      <c r="H18" s="21">
        <v>3.8</v>
      </c>
      <c r="I18" s="21">
        <v>361</v>
      </c>
      <c r="J18" s="20" t="s">
        <v>38</v>
      </c>
    </row>
    <row r="19" spans="3:10">
      <c r="C19" s="20" t="s">
        <v>12</v>
      </c>
      <c r="D19" s="10" t="s">
        <v>51</v>
      </c>
      <c r="E19" s="22">
        <v>45517</v>
      </c>
      <c r="F19" s="20" t="s">
        <v>33</v>
      </c>
      <c r="G19" s="20">
        <v>110</v>
      </c>
      <c r="H19" s="21">
        <v>4.5</v>
      </c>
      <c r="I19" s="21">
        <v>495</v>
      </c>
      <c r="J19" s="20" t="s">
        <v>34</v>
      </c>
    </row>
    <row r="20" spans="3:10">
      <c r="C20" s="20" t="s">
        <v>10</v>
      </c>
      <c r="D20" s="10" t="s">
        <v>13</v>
      </c>
      <c r="E20" s="22">
        <v>45518</v>
      </c>
      <c r="F20" s="20" t="s">
        <v>35</v>
      </c>
      <c r="G20" s="20">
        <v>60</v>
      </c>
      <c r="H20" s="21">
        <v>5</v>
      </c>
      <c r="I20" s="21">
        <v>300</v>
      </c>
      <c r="J20" s="20" t="s">
        <v>36</v>
      </c>
    </row>
    <row r="21" spans="3:10">
      <c r="C21" s="20" t="s">
        <v>8</v>
      </c>
      <c r="D21" s="10" t="s">
        <v>13</v>
      </c>
      <c r="E21" s="22">
        <v>45519</v>
      </c>
      <c r="F21" s="20" t="s">
        <v>37</v>
      </c>
      <c r="G21" s="20">
        <v>75</v>
      </c>
      <c r="H21" s="21">
        <v>3.8</v>
      </c>
      <c r="I21" s="21">
        <v>285</v>
      </c>
      <c r="J21" s="20" t="s">
        <v>38</v>
      </c>
    </row>
    <row r="22" spans="3:10">
      <c r="C22" s="20" t="s">
        <v>9</v>
      </c>
      <c r="D22" s="10" t="s">
        <v>15</v>
      </c>
      <c r="E22" s="22">
        <v>45520</v>
      </c>
      <c r="F22" s="20" t="s">
        <v>33</v>
      </c>
      <c r="G22" s="20">
        <v>55</v>
      </c>
      <c r="H22" s="21">
        <v>4.5</v>
      </c>
      <c r="I22" s="21">
        <v>247.5</v>
      </c>
      <c r="J22" s="20" t="s">
        <v>34</v>
      </c>
    </row>
    <row r="23" spans="3:10">
      <c r="C23" s="20" t="s">
        <v>6</v>
      </c>
      <c r="D23" s="10" t="s">
        <v>14</v>
      </c>
      <c r="E23" s="22">
        <v>45521</v>
      </c>
      <c r="F23" s="20" t="s">
        <v>35</v>
      </c>
      <c r="G23" s="20">
        <v>105</v>
      </c>
      <c r="H23" s="21">
        <v>5</v>
      </c>
      <c r="I23" s="21">
        <v>525</v>
      </c>
      <c r="J23" s="20" t="s">
        <v>36</v>
      </c>
    </row>
    <row r="24" spans="3:10">
      <c r="C24" s="20" t="s">
        <v>11</v>
      </c>
      <c r="D24" s="10" t="s">
        <v>13</v>
      </c>
      <c r="E24" s="22">
        <v>45522</v>
      </c>
      <c r="F24" s="20" t="s">
        <v>37</v>
      </c>
      <c r="G24" s="20">
        <v>90</v>
      </c>
      <c r="H24" s="21">
        <v>3.8</v>
      </c>
      <c r="I24" s="21">
        <v>342</v>
      </c>
      <c r="J24" s="20" t="s">
        <v>38</v>
      </c>
    </row>
    <row r="25" spans="3:10">
      <c r="C25" s="20" t="s">
        <v>7</v>
      </c>
      <c r="D25" s="10" t="s">
        <v>14</v>
      </c>
      <c r="E25" s="22">
        <v>45523</v>
      </c>
      <c r="F25" s="20" t="s">
        <v>33</v>
      </c>
      <c r="G25" s="20">
        <v>70</v>
      </c>
      <c r="H25" s="21">
        <v>4.5</v>
      </c>
      <c r="I25" s="21">
        <v>315</v>
      </c>
      <c r="J25" s="20" t="s">
        <v>34</v>
      </c>
    </row>
    <row r="26" spans="3:10">
      <c r="C26" s="20" t="s">
        <v>12</v>
      </c>
      <c r="D26" s="10" t="s">
        <v>51</v>
      </c>
      <c r="E26" s="22">
        <v>45524</v>
      </c>
      <c r="F26" s="20" t="s">
        <v>35</v>
      </c>
      <c r="G26" s="20">
        <v>65</v>
      </c>
      <c r="H26" s="21">
        <v>5</v>
      </c>
      <c r="I26" s="21">
        <v>325</v>
      </c>
      <c r="J26" s="20" t="s">
        <v>36</v>
      </c>
    </row>
  </sheetData>
  <mergeCells count="1">
    <mergeCell ref="C1:J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167EE-E42B-4B63-9AF7-802417A4D73C}">
  <sheetPr codeName="Planilha5"/>
  <dimension ref="A1:XFC39"/>
  <sheetViews>
    <sheetView workbookViewId="0">
      <selection activeCell="D1" sqref="D1:J3"/>
    </sheetView>
  </sheetViews>
  <sheetFormatPr defaultColWidth="8.8984375" defaultRowHeight="13.8"/>
  <cols>
    <col min="1" max="1" width="3.8984375" style="12" customWidth="1"/>
    <col min="2" max="2" width="4.3984375" style="12" customWidth="1"/>
    <col min="3" max="3" width="4.59765625" style="26" customWidth="1"/>
    <col min="4" max="4" width="13.796875" customWidth="1"/>
    <col min="5" max="5" width="20.296875" customWidth="1"/>
    <col min="6" max="6" width="19.8984375" customWidth="1"/>
    <col min="7" max="7" width="18.8984375" customWidth="1"/>
    <col min="8" max="8" width="18" customWidth="1"/>
    <col min="9" max="9" width="17" customWidth="1"/>
    <col min="10" max="10" width="14.796875" customWidth="1"/>
    <col min="11" max="11" width="4.796875" style="29" customWidth="1"/>
    <col min="12" max="12" width="5.09765625" style="12" customWidth="1"/>
    <col min="13" max="13" width="5.3984375" style="12" customWidth="1"/>
    <col min="14" max="16383" width="0" hidden="1" customWidth="1"/>
    <col min="16384" max="16384" width="3.796875" hidden="1" customWidth="1"/>
  </cols>
  <sheetData>
    <row r="1" spans="3:16" ht="18.600000000000001" customHeight="1">
      <c r="D1" s="133" t="s">
        <v>68</v>
      </c>
      <c r="E1" s="134"/>
      <c r="F1" s="134"/>
      <c r="G1" s="134"/>
      <c r="H1" s="134"/>
      <c r="I1" s="134"/>
      <c r="J1" s="135"/>
    </row>
    <row r="2" spans="3:16" ht="16.8" customHeight="1">
      <c r="D2" s="127"/>
      <c r="E2" s="128"/>
      <c r="F2" s="128"/>
      <c r="G2" s="128"/>
      <c r="H2" s="128"/>
      <c r="I2" s="128"/>
      <c r="J2" s="129"/>
    </row>
    <row r="3" spans="3:16" ht="17.399999999999999" customHeight="1">
      <c r="D3" s="130"/>
      <c r="E3" s="131"/>
      <c r="F3" s="131"/>
      <c r="G3" s="131"/>
      <c r="H3" s="131"/>
      <c r="I3" s="131"/>
      <c r="J3" s="132"/>
    </row>
    <row r="4" spans="3:16" ht="34.799999999999997" customHeight="1">
      <c r="C4" s="27"/>
      <c r="D4" s="12"/>
      <c r="E4" s="12"/>
      <c r="F4" s="12"/>
      <c r="G4" s="12"/>
      <c r="H4" s="12"/>
      <c r="I4" s="12"/>
      <c r="J4" s="12"/>
      <c r="K4" s="65"/>
      <c r="L4" s="59"/>
      <c r="M4" s="59"/>
      <c r="N4" s="9"/>
      <c r="O4" s="9"/>
      <c r="P4" s="9"/>
    </row>
    <row r="5" spans="3:16" ht="13.2" customHeight="1">
      <c r="C5" s="27"/>
      <c r="D5" s="12"/>
      <c r="E5" s="56" t="s">
        <v>65</v>
      </c>
      <c r="F5" s="76">
        <v>45292</v>
      </c>
      <c r="G5" s="77" t="s">
        <v>67</v>
      </c>
      <c r="H5" s="76">
        <v>45658</v>
      </c>
      <c r="I5" s="12"/>
      <c r="J5" s="12"/>
      <c r="K5" s="65"/>
      <c r="L5" s="59"/>
      <c r="M5" s="59"/>
      <c r="N5" s="9"/>
      <c r="O5" s="9"/>
      <c r="P5" s="9"/>
    </row>
    <row r="6" spans="3:16" ht="14.4" customHeight="1">
      <c r="C6" s="27"/>
      <c r="D6" s="12"/>
      <c r="F6" s="12"/>
      <c r="G6" s="80"/>
      <c r="H6" s="80"/>
      <c r="I6" s="12"/>
      <c r="J6" s="12"/>
      <c r="K6" s="65"/>
      <c r="L6" s="59"/>
      <c r="M6" s="59"/>
      <c r="N6" s="9"/>
      <c r="O6" s="9"/>
      <c r="P6" s="9"/>
    </row>
    <row r="7" spans="3:16" ht="14.4" customHeight="1">
      <c r="D7" s="12"/>
      <c r="E7" s="75" t="s">
        <v>66</v>
      </c>
      <c r="F7" s="37" t="s">
        <v>7</v>
      </c>
      <c r="G7" s="80"/>
      <c r="H7" s="80"/>
      <c r="I7" s="12"/>
      <c r="J7" s="12"/>
    </row>
    <row r="8" spans="3:16" ht="18.600000000000001" customHeight="1">
      <c r="D8" s="12"/>
      <c r="E8" s="12"/>
      <c r="F8" s="12"/>
      <c r="G8" s="12"/>
      <c r="H8" s="12"/>
      <c r="I8" s="12"/>
      <c r="J8" s="12"/>
    </row>
    <row r="9" spans="3:16" ht="15.6">
      <c r="D9" s="12"/>
      <c r="E9" s="75" t="s">
        <v>69</v>
      </c>
      <c r="F9" s="136">
        <f>SUM(I12:I39)</f>
        <v>951</v>
      </c>
      <c r="G9" s="136"/>
      <c r="H9" s="136"/>
      <c r="I9" s="12"/>
      <c r="J9" s="12"/>
    </row>
    <row r="10" spans="3:16" ht="41.4" customHeight="1">
      <c r="D10" s="12"/>
      <c r="E10" s="12"/>
      <c r="F10" s="12"/>
      <c r="G10" s="12"/>
      <c r="H10" s="12"/>
      <c r="I10" s="12"/>
      <c r="J10" s="12"/>
    </row>
    <row r="11" spans="3:16" ht="16.2" customHeight="1">
      <c r="D11" s="79" t="s">
        <v>3</v>
      </c>
      <c r="E11" s="78" t="s">
        <v>27</v>
      </c>
      <c r="F11" s="57" t="s">
        <v>28</v>
      </c>
      <c r="G11" s="57" t="s">
        <v>29</v>
      </c>
      <c r="H11" s="57" t="s">
        <v>30</v>
      </c>
      <c r="I11" s="57" t="s">
        <v>31</v>
      </c>
      <c r="J11" s="67" t="s">
        <v>61</v>
      </c>
    </row>
    <row r="12" spans="3:16">
      <c r="D12" s="10" t="str" cm="1">
        <f t="array" ref="D12:J14">_xlfn._xlws.FILTER(Compras!D6:J26,(Compras!E6:E26&gt;=Relatório!F5)*(Compras!E6:E26&lt;=Relatório!H5)*(Compras!C6:C26=Relatório!F7),"N/A")</f>
        <v>MG</v>
      </c>
      <c r="E12" s="63">
        <v>45509</v>
      </c>
      <c r="F12" s="10" t="str">
        <v>Tipo B</v>
      </c>
      <c r="G12" s="10">
        <v>55</v>
      </c>
      <c r="H12" s="10">
        <v>5</v>
      </c>
      <c r="I12" s="10">
        <v>275</v>
      </c>
      <c r="J12" s="10" t="str">
        <v>Débito</v>
      </c>
    </row>
    <row r="13" spans="3:16">
      <c r="D13" s="10" t="str">
        <v>MG</v>
      </c>
      <c r="E13" s="63">
        <v>45516</v>
      </c>
      <c r="F13" s="10" t="str">
        <v>Tipo C</v>
      </c>
      <c r="G13" s="10">
        <v>95</v>
      </c>
      <c r="H13" s="10">
        <v>3.8</v>
      </c>
      <c r="I13" s="10">
        <v>361</v>
      </c>
      <c r="J13" s="10" t="str">
        <v>Boleto</v>
      </c>
    </row>
    <row r="14" spans="3:16">
      <c r="D14" s="10" t="str">
        <v>MG</v>
      </c>
      <c r="E14" s="63">
        <v>45523</v>
      </c>
      <c r="F14" s="10" t="str">
        <v>Tipo A</v>
      </c>
      <c r="G14" s="10">
        <v>70</v>
      </c>
      <c r="H14" s="10">
        <v>4.5</v>
      </c>
      <c r="I14" s="10">
        <v>315</v>
      </c>
      <c r="J14" s="10" t="str">
        <v>Crédito</v>
      </c>
    </row>
    <row r="15" spans="3:16" ht="16.2" customHeight="1">
      <c r="D15" s="9"/>
      <c r="E15" s="30"/>
      <c r="F15" s="9"/>
      <c r="G15" s="9"/>
      <c r="H15" s="9"/>
      <c r="I15" s="9"/>
      <c r="J15" s="9"/>
    </row>
    <row r="16" spans="3:16">
      <c r="D16" s="9"/>
      <c r="E16" s="30"/>
      <c r="F16" s="9"/>
      <c r="G16" s="9"/>
      <c r="H16" s="9"/>
      <c r="I16" s="9"/>
      <c r="J16" s="9"/>
    </row>
    <row r="17" spans="4:10" ht="16.2" customHeight="1">
      <c r="D17" s="10"/>
      <c r="E17" s="63"/>
      <c r="F17" s="10"/>
      <c r="G17" s="10"/>
      <c r="H17" s="10"/>
      <c r="I17" s="10"/>
      <c r="J17" s="10"/>
    </row>
    <row r="18" spans="4:10" ht="17.399999999999999" customHeight="1">
      <c r="D18" s="9"/>
      <c r="E18" s="30"/>
      <c r="F18" s="9"/>
      <c r="G18" s="9"/>
      <c r="H18" s="9"/>
      <c r="I18" s="9"/>
      <c r="J18" s="9"/>
    </row>
    <row r="19" spans="4:10">
      <c r="D19" s="9"/>
      <c r="E19" s="30"/>
      <c r="F19" s="9"/>
      <c r="G19" s="9"/>
      <c r="H19" s="9"/>
      <c r="I19" s="9"/>
      <c r="J19" s="9"/>
    </row>
    <row r="20" spans="4:10">
      <c r="D20" s="9"/>
      <c r="E20" s="30"/>
      <c r="F20" s="9"/>
      <c r="G20" s="9"/>
      <c r="H20" s="9"/>
      <c r="I20" s="9"/>
      <c r="J20" s="9"/>
    </row>
    <row r="21" spans="4:10">
      <c r="D21" s="9"/>
      <c r="E21" s="30"/>
      <c r="F21" s="9"/>
      <c r="G21" s="9"/>
      <c r="H21" s="9"/>
      <c r="I21" s="9"/>
      <c r="J21" s="9"/>
    </row>
    <row r="22" spans="4:10">
      <c r="D22" s="9"/>
      <c r="E22" s="30"/>
      <c r="F22" s="9"/>
      <c r="G22" s="9"/>
      <c r="H22" s="9"/>
      <c r="I22" s="9"/>
      <c r="J22" s="9"/>
    </row>
    <row r="23" spans="4:10">
      <c r="D23" s="9"/>
      <c r="E23" s="30"/>
      <c r="F23" s="9"/>
      <c r="G23" s="9"/>
      <c r="H23" s="9"/>
      <c r="I23" s="9"/>
      <c r="J23" s="9"/>
    </row>
    <row r="24" spans="4:10">
      <c r="D24" s="9"/>
      <c r="E24" s="30"/>
      <c r="F24" s="9"/>
      <c r="G24" s="9"/>
      <c r="H24" s="9"/>
      <c r="I24" s="9"/>
      <c r="J24" s="9"/>
    </row>
    <row r="25" spans="4:10">
      <c r="D25" s="9"/>
      <c r="E25" s="30"/>
      <c r="F25" s="9"/>
      <c r="G25" s="9"/>
      <c r="H25" s="9"/>
      <c r="I25" s="9"/>
      <c r="J25" s="9"/>
    </row>
    <row r="26" spans="4:10">
      <c r="D26" s="9"/>
      <c r="E26" s="30"/>
      <c r="F26" s="9"/>
      <c r="G26" s="9"/>
      <c r="H26" s="9"/>
      <c r="I26" s="9"/>
      <c r="J26" s="9"/>
    </row>
    <row r="27" spans="4:10">
      <c r="D27" s="9"/>
      <c r="E27" s="30"/>
      <c r="F27" s="9"/>
      <c r="G27" s="9"/>
      <c r="H27" s="9"/>
      <c r="I27" s="9"/>
      <c r="J27" s="9"/>
    </row>
    <row r="28" spans="4:10">
      <c r="D28" s="9"/>
      <c r="E28" s="30"/>
      <c r="F28" s="9"/>
      <c r="G28" s="9"/>
      <c r="H28" s="9"/>
      <c r="I28" s="9"/>
      <c r="J28" s="9"/>
    </row>
    <row r="29" spans="4:10">
      <c r="D29" s="9"/>
      <c r="E29" s="30"/>
      <c r="F29" s="9"/>
      <c r="G29" s="9"/>
      <c r="H29" s="9"/>
      <c r="I29" s="9"/>
      <c r="J29" s="9"/>
    </row>
    <row r="30" spans="4:10">
      <c r="D30" s="9"/>
      <c r="E30" s="30"/>
      <c r="F30" s="9"/>
      <c r="G30" s="9"/>
      <c r="H30" s="9"/>
      <c r="I30" s="9"/>
      <c r="J30" s="9"/>
    </row>
    <row r="31" spans="4:10">
      <c r="D31" s="9"/>
      <c r="E31" s="30"/>
      <c r="F31" s="9"/>
      <c r="G31" s="9"/>
      <c r="H31" s="9"/>
      <c r="I31" s="9"/>
      <c r="J31" s="9"/>
    </row>
    <row r="32" spans="4:10">
      <c r="D32" s="9"/>
      <c r="E32" s="30"/>
      <c r="F32" s="9"/>
      <c r="G32" s="9"/>
      <c r="H32" s="9"/>
      <c r="I32" s="9"/>
      <c r="J32" s="9"/>
    </row>
    <row r="33" spans="4:10">
      <c r="D33" s="9"/>
      <c r="E33" s="30"/>
      <c r="F33" s="9"/>
      <c r="G33" s="9"/>
      <c r="H33" s="9"/>
      <c r="I33" s="9"/>
      <c r="J33" s="9"/>
    </row>
    <row r="34" spans="4:10">
      <c r="E34" s="74"/>
    </row>
    <row r="35" spans="4:10">
      <c r="E35" s="74"/>
    </row>
    <row r="36" spans="4:10">
      <c r="E36" s="74"/>
    </row>
    <row r="37" spans="4:10">
      <c r="E37" s="74"/>
    </row>
    <row r="38" spans="4:10">
      <c r="E38" s="74"/>
    </row>
    <row r="39" spans="4:10">
      <c r="E39" s="74"/>
    </row>
  </sheetData>
  <mergeCells count="2">
    <mergeCell ref="D1:J3"/>
    <mergeCell ref="F9:H9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95993EF-8CC1-4D8F-B81E-96F875BC68B5}">
          <x14:formula1>
            <xm:f>'Reg.Forn'!$C$5:$C$11</xm:f>
          </x14:formula1>
          <xm:sqref>F7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4B310-A74B-4E8B-B7E6-95756B985121}">
  <sheetPr codeName="Planilha6"/>
  <dimension ref="A2:B11"/>
  <sheetViews>
    <sheetView showGridLines="0" workbookViewId="0">
      <selection activeCell="A3" sqref="A3"/>
    </sheetView>
  </sheetViews>
  <sheetFormatPr defaultRowHeight="13.8"/>
  <cols>
    <col min="1" max="1" width="16.5" bestFit="1" customWidth="1"/>
    <col min="2" max="2" width="21.5" bestFit="1" customWidth="1"/>
  </cols>
  <sheetData>
    <row r="2" spans="1:2" ht="14.4" thickBot="1"/>
    <row r="3" spans="1:2" ht="14.4" thickBot="1">
      <c r="A3" s="70" t="s">
        <v>62</v>
      </c>
      <c r="B3" s="73" t="s">
        <v>64</v>
      </c>
    </row>
    <row r="4" spans="1:2">
      <c r="A4" s="71" t="s">
        <v>8</v>
      </c>
      <c r="B4" s="81">
        <v>776</v>
      </c>
    </row>
    <row r="5" spans="1:2">
      <c r="A5" s="68" t="s">
        <v>9</v>
      </c>
      <c r="B5" s="82">
        <v>1072.5</v>
      </c>
    </row>
    <row r="6" spans="1:2">
      <c r="A6" s="68" t="s">
        <v>6</v>
      </c>
      <c r="B6" s="82">
        <v>1293</v>
      </c>
    </row>
    <row r="7" spans="1:2">
      <c r="A7" s="68" t="s">
        <v>11</v>
      </c>
      <c r="B7" s="82">
        <v>1217</v>
      </c>
    </row>
    <row r="8" spans="1:2">
      <c r="A8" s="68" t="s">
        <v>7</v>
      </c>
      <c r="B8" s="82">
        <v>951</v>
      </c>
    </row>
    <row r="9" spans="1:2">
      <c r="A9" s="68" t="s">
        <v>12</v>
      </c>
      <c r="B9" s="82">
        <v>1124</v>
      </c>
    </row>
    <row r="10" spans="1:2" ht="14.4" thickBot="1">
      <c r="A10" s="69" t="s">
        <v>10</v>
      </c>
      <c r="B10" s="82">
        <v>592.5</v>
      </c>
    </row>
    <row r="11" spans="1:2" ht="14.4" thickBot="1">
      <c r="A11" s="72" t="s">
        <v>63</v>
      </c>
      <c r="B11" s="83">
        <v>7026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3114aab-23d5-4c61-b27d-c52731a736f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14" ma:contentTypeDescription="Create a new document." ma:contentTypeScope="" ma:versionID="80de9971669064006af8633adaace268">
  <xsd:schema xmlns:xsd="http://www.w3.org/2001/XMLSchema" xmlns:xs="http://www.w3.org/2001/XMLSchema" xmlns:p="http://schemas.microsoft.com/office/2006/metadata/properties" xmlns:ns3="53114aab-23d5-4c61-b27d-c52731a736fe" xmlns:ns4="6c9fa380-4f98-48aa-91bb-f1e00e7e67c7" targetNamespace="http://schemas.microsoft.com/office/2006/metadata/properties" ma:root="true" ma:fieldsID="30b3fc29f3d47e5c5b7a46b2e26d5c51" ns3:_="" ns4:_="">
    <xsd:import namespace="53114aab-23d5-4c61-b27d-c52731a736fe"/>
    <xsd:import namespace="6c9fa380-4f98-48aa-91bb-f1e00e7e67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9fa380-4f98-48aa-91bb-f1e00e7e67c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52B5DF1-C02F-4105-8EAD-5A331349A144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53114aab-23d5-4c61-b27d-c52731a736fe"/>
    <ds:schemaRef ds:uri="6c9fa380-4f98-48aa-91bb-f1e00e7e67c7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F8AC012-97C9-48E2-8F44-7FA6B67162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6c9fa380-4f98-48aa-91bb-f1e00e7e67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35F63CA-8629-4A4A-9458-EDDB3E489C7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Form.Forn</vt:lpstr>
      <vt:lpstr>Form.Compras</vt:lpstr>
      <vt:lpstr>Reg.Forn</vt:lpstr>
      <vt:lpstr>Compras</vt:lpstr>
      <vt:lpstr>Relatório</vt:lpstr>
      <vt:lpstr>Análise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MARTINS TAPARO</dc:creator>
  <cp:lastModifiedBy>Caio</cp:lastModifiedBy>
  <dcterms:created xsi:type="dcterms:W3CDTF">2024-08-21T02:31:19Z</dcterms:created>
  <dcterms:modified xsi:type="dcterms:W3CDTF">2024-09-05T15:03:12Z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